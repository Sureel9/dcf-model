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Balance Sheet" sheetId="2" r:id="rId6"/>
    <sheet state="visible" name="Cash Flow" sheetId="3" r:id="rId7"/>
    <sheet state="visible" name="DCF" sheetId="4" r:id="rId8"/>
    <sheet state="visible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tc={adbd7ead-6e96-4df0-bf65-afd2d67e8671}</author>
    <author>tc={d023c261-1319-4ebd-9abc-a01b20e906b8}</author>
  </authors>
  <commentList>
    <comment authorId="0" xr:uid="{adbd7ead-6e96-4df0-bf65-afd2d67e8671}" ref="C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rate of USA GDP
</t>
      </text>
    </comment>
    <comment authorId="1" xr:uid="{d023c261-1319-4ebd-9abc-a01b20e906b8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of USA GDP
</t>
      </text>
    </comment>
  </commentList>
</comments>
</file>

<file path=xl/sharedStrings.xml><?xml version="1.0" encoding="utf-8"?>
<sst xmlns="http://schemas.openxmlformats.org/spreadsheetml/2006/main" count="203" uniqueCount="112">
  <si>
    <t>Ticker Name:</t>
  </si>
  <si>
    <t>mrk</t>
  </si>
  <si>
    <t>Current Price</t>
  </si>
  <si>
    <t xml:space="preserve">%-change from implied </t>
  </si>
  <si>
    <t>Implied Share Value</t>
  </si>
  <si>
    <t>%-change (1 month)</t>
  </si>
  <si>
    <t>Chart (1 years)</t>
  </si>
  <si>
    <t>%-change (6 months)</t>
  </si>
  <si>
    <t>Chart (5 years)</t>
  </si>
  <si>
    <t>%-change (12 months)</t>
  </si>
  <si>
    <t>Income Statement</t>
  </si>
  <si>
    <t>FY</t>
  </si>
  <si>
    <t>Future FY</t>
  </si>
  <si>
    <t>Revenue</t>
  </si>
  <si>
    <t xml:space="preserve">Revenue Growth </t>
  </si>
  <si>
    <t>Cost of Sales</t>
  </si>
  <si>
    <t>Gross Profit</t>
  </si>
  <si>
    <t>Gross Profit Growth</t>
  </si>
  <si>
    <t>Selling, General &amp; Admin</t>
  </si>
  <si>
    <t>-</t>
  </si>
  <si>
    <t>Depreciation &amp; Amortization Expense</t>
  </si>
  <si>
    <t>Unusual Expense</t>
  </si>
  <si>
    <t>Operating Expenses</t>
  </si>
  <si>
    <t>Operating Expenses Growth</t>
  </si>
  <si>
    <t>Operating Income</t>
  </si>
  <si>
    <t>Operating Income Growth</t>
  </si>
  <si>
    <t>EBIT</t>
  </si>
  <si>
    <t>EBITDA</t>
  </si>
  <si>
    <t>EBITDA Growth</t>
  </si>
  <si>
    <t>EBITDA Margin</t>
  </si>
  <si>
    <t>Pretax Income</t>
  </si>
  <si>
    <t xml:space="preserve">Income Tax </t>
  </si>
  <si>
    <t>Net Income</t>
  </si>
  <si>
    <t>Net Income to Common</t>
  </si>
  <si>
    <t>Net Income Growth</t>
  </si>
  <si>
    <t>EPS (Diluted)</t>
  </si>
  <si>
    <t>EPS (Diluted) Growth</t>
  </si>
  <si>
    <t>Balance Sheet</t>
  </si>
  <si>
    <t>Cash Only</t>
  </si>
  <si>
    <t>Short-Term Investments</t>
  </si>
  <si>
    <t>Cash &amp; Short Term Invesments</t>
  </si>
  <si>
    <t>Cash &amp; Short Term Invesments Growth</t>
  </si>
  <si>
    <t>Finished Goods</t>
  </si>
  <si>
    <t>Work in Progress</t>
  </si>
  <si>
    <t>Raw Materials</t>
  </si>
  <si>
    <t>Inventories</t>
  </si>
  <si>
    <t>Accounts Receivables, Net</t>
  </si>
  <si>
    <t>Other Receivable</t>
  </si>
  <si>
    <t>Total Accounts Receivable</t>
  </si>
  <si>
    <t>Total Accounts Receivable Growth</t>
  </si>
  <si>
    <t>Other Current Assets</t>
  </si>
  <si>
    <t>Total Current Assets</t>
  </si>
  <si>
    <t>Total Current Assets Growth</t>
  </si>
  <si>
    <t>Property, Plant &amp; Equipment</t>
  </si>
  <si>
    <t>Accumulated Depreciation</t>
  </si>
  <si>
    <t>Net Property, Plant &amp; Equipment</t>
  </si>
  <si>
    <t>Intangible Assets</t>
  </si>
  <si>
    <t>Other Assets</t>
  </si>
  <si>
    <t>Total Assets</t>
  </si>
  <si>
    <t>Total Assets Growth</t>
  </si>
  <si>
    <t>Short Term Debt</t>
  </si>
  <si>
    <t>Current Portion of Long Term Debt</t>
  </si>
  <si>
    <t>ST Debt &amp; Current Portion LT Debt</t>
  </si>
  <si>
    <t>Net Income before Extraordinaries</t>
  </si>
  <si>
    <t>Depreciation, Depletion &amp; Amortization</t>
  </si>
  <si>
    <t>Net Operating Cash Flow</t>
  </si>
  <si>
    <t>Net Operating Cash Flow Growth</t>
  </si>
  <si>
    <t>Net Change in Cash</t>
  </si>
  <si>
    <t>Free Cash Flow</t>
  </si>
  <si>
    <t>Free Cash Flow Growth</t>
  </si>
  <si>
    <t>TradingView Revenue Estimates</t>
  </si>
  <si>
    <t>Discounted Cash Flow</t>
  </si>
  <si>
    <t>% growth</t>
  </si>
  <si>
    <t>% of sales</t>
  </si>
  <si>
    <t>Taxes</t>
  </si>
  <si>
    <t>% of EBIT</t>
  </si>
  <si>
    <t>EBIAT</t>
  </si>
  <si>
    <t>D&amp;A</t>
  </si>
  <si>
    <t>CapEx</t>
  </si>
  <si>
    <t>Changes in NWC</t>
  </si>
  <si>
    <t>Unlevered Free Cash Flow</t>
  </si>
  <si>
    <t>Discount Rate</t>
  </si>
  <si>
    <t>Discount Period</t>
  </si>
  <si>
    <t>Discount Factor</t>
  </si>
  <si>
    <t>Present Value of FCF</t>
  </si>
  <si>
    <t>Weighted Average Cost of Capital</t>
  </si>
  <si>
    <t>Equity Value</t>
  </si>
  <si>
    <t>% Equity</t>
  </si>
  <si>
    <t>Cost of Equity</t>
  </si>
  <si>
    <t>Risk Free Rate</t>
  </si>
  <si>
    <t>Beta</t>
  </si>
  <si>
    <t>Market Risk Premium</t>
  </si>
  <si>
    <t>Debt</t>
  </si>
  <si>
    <t>% Debt</t>
  </si>
  <si>
    <t>Cost of Debt</t>
  </si>
  <si>
    <t>Tax Rate</t>
  </si>
  <si>
    <t>Debt+Equity</t>
  </si>
  <si>
    <t>Terminal Value Calculation</t>
  </si>
  <si>
    <t>Terminal Growth Rate</t>
  </si>
  <si>
    <t>Terminal Value</t>
  </si>
  <si>
    <t>Present Value of Terminal Value</t>
  </si>
  <si>
    <t>Enterprise Value</t>
  </si>
  <si>
    <t>Implied Value per Share</t>
  </si>
  <si>
    <t>Cash + Short Term Investments</t>
  </si>
  <si>
    <t>Diluted Shares</t>
  </si>
  <si>
    <t xml:space="preserve"> </t>
  </si>
  <si>
    <t>Monthly Return of stock</t>
  </si>
  <si>
    <t>price</t>
  </si>
  <si>
    <t>% return</t>
  </si>
  <si>
    <t>Monthly Return of market</t>
  </si>
  <si>
    <t>Selected</t>
  </si>
  <si>
    <t>10Y TREASURY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</si>
</sst>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999950]0.00,&quot;K&quot;;[&lt;999950000]0.00,,&quot;M&quot;;0.00,,,&quot;B&quot;"/>
    <numFmt numFmtId="165" formatCode="[&lt;999950]0&quot;K&quot;;[&lt;999950000]0,,&quot;M&quot;;0,,,&quot;B&quot;"/>
    <numFmt numFmtId="166" formatCode="mm/yyyy"/>
    <numFmt numFmtId="167" formatCode="&quot;$&quot;#,##0.00"/>
    <numFmt numFmtId="168" formatCode="m/yyyy"/>
  </numFmts>
  <fonts count="16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36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9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  <scheme val="minor"/>
    </font>
    <font>
      <color rgb="FF262626"/>
      <name val="Arial"/>
    </font>
    <font>
      <u/>
      <color rgb="FF0000FF"/>
    </font>
    <font>
      <b/>
      <sz val="15.0"/>
      <color theme="1"/>
      <name val="Arial"/>
      <scheme val="minor"/>
    </font>
    <font>
      <color rgb="FF0C0D0E"/>
      <name val="Ui-monospace"/>
    </font>
    <font>
      <sz val="10.0"/>
      <color theme="1"/>
      <name val="Arial"/>
      <scheme val="minor"/>
    </font>
    <font>
      <sz val="10.0"/>
      <color rgb="FF262626"/>
      <name val="Arial"/>
      <scheme val="minor"/>
    </font>
    <font>
      <sz val="11.0"/>
      <color rgb="FF26262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E1E1E1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" fillId="2" fontId="4" numFmtId="0" xfId="0" applyAlignment="1" applyBorder="1" applyFont="1">
      <alignment readingOrder="0"/>
    </xf>
    <xf borderId="2" fillId="0" fontId="4" numFmtId="10" xfId="0" applyBorder="1" applyFont="1" applyNumberFormat="1"/>
    <xf borderId="1" fillId="2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2" fontId="4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9" fillId="0" fontId="4" numFmtId="0" xfId="0" applyBorder="1" applyFont="1"/>
    <xf borderId="10" fillId="0" fontId="4" numFmtId="0" xfId="0" applyBorder="1" applyFont="1"/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0" fillId="0" fontId="4" numFmtId="164" xfId="0" applyFont="1" applyNumberFormat="1"/>
    <xf borderId="10" fillId="0" fontId="4" numFmtId="164" xfId="0" applyBorder="1" applyFont="1" applyNumberFormat="1"/>
    <xf borderId="0" fillId="0" fontId="4" numFmtId="164" xfId="0" applyAlignment="1" applyFont="1" applyNumberFormat="1">
      <alignment horizontal="right"/>
    </xf>
    <xf borderId="10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9" fillId="0" fontId="7" numFmtId="0" xfId="0" applyAlignment="1" applyBorder="1" applyFont="1">
      <alignment readingOrder="0"/>
    </xf>
    <xf borderId="0" fillId="0" fontId="7" numFmtId="0" xfId="0" applyAlignment="1" applyFont="1">
      <alignment horizontal="right"/>
    </xf>
    <xf borderId="0" fillId="0" fontId="7" numFmtId="10" xfId="0" applyAlignment="1" applyFont="1" applyNumberFormat="1">
      <alignment horizontal="right"/>
    </xf>
    <xf borderId="10" fillId="0" fontId="7" numFmtId="10" xfId="0" applyAlignment="1" applyBorder="1" applyFont="1" applyNumberFormat="1">
      <alignment horizontal="right"/>
    </xf>
    <xf borderId="0" fillId="0" fontId="7" numFmtId="10" xfId="0" applyAlignment="1" applyFont="1" applyNumberFormat="1">
      <alignment horizontal="right" readingOrder="0"/>
    </xf>
    <xf borderId="10" fillId="0" fontId="7" numFmtId="10" xfId="0" applyAlignment="1" applyBorder="1" applyFont="1" applyNumberFormat="1">
      <alignment horizontal="right" readingOrder="0"/>
    </xf>
    <xf borderId="0" fillId="0" fontId="7" numFmtId="0" xfId="0" applyFont="1"/>
    <xf borderId="0" fillId="0" fontId="4" numFmtId="0" xfId="0" applyAlignment="1" applyFont="1">
      <alignment horizontal="right"/>
    </xf>
    <xf borderId="10" fillId="0" fontId="4" numFmtId="0" xfId="0" applyAlignment="1" applyBorder="1" applyFont="1">
      <alignment horizontal="right"/>
    </xf>
    <xf borderId="0" fillId="0" fontId="8" numFmtId="0" xfId="0" applyAlignment="1" applyFont="1">
      <alignment readingOrder="0"/>
    </xf>
    <xf borderId="11" fillId="0" fontId="8" numFmtId="0" xfId="0" applyAlignment="1" applyBorder="1" applyFont="1">
      <alignment readingOrder="0"/>
    </xf>
    <xf borderId="12" fillId="0" fontId="4" numFmtId="0" xfId="0" applyAlignment="1" applyBorder="1" applyFont="1">
      <alignment horizontal="right"/>
    </xf>
    <xf borderId="13" fillId="0" fontId="4" numFmtId="0" xfId="0" applyAlignment="1" applyBorder="1" applyFont="1">
      <alignment horizontal="right"/>
    </xf>
    <xf borderId="14" fillId="0" fontId="4" numFmtId="164" xfId="0" applyAlignment="1" applyBorder="1" applyFont="1" applyNumberFormat="1">
      <alignment horizontal="right" readingOrder="0"/>
    </xf>
    <xf borderId="12" fillId="0" fontId="4" numFmtId="164" xfId="0" applyAlignment="1" applyBorder="1" applyFont="1" applyNumberFormat="1">
      <alignment horizontal="right" readingOrder="0"/>
    </xf>
    <xf borderId="13" fillId="0" fontId="4" numFmtId="164" xfId="0" applyAlignment="1" applyBorder="1" applyFont="1" applyNumberFormat="1">
      <alignment horizontal="right" readingOrder="0"/>
    </xf>
    <xf borderId="15" fillId="0" fontId="7" numFmtId="10" xfId="0" applyAlignment="1" applyBorder="1" applyFont="1" applyNumberForma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 readingOrder="0"/>
    </xf>
    <xf borderId="10" fillId="0" fontId="4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  <xf borderId="9" fillId="0" fontId="9" numFmtId="0" xfId="0" applyAlignment="1" applyBorder="1" applyFont="1">
      <alignment readingOrder="0"/>
    </xf>
    <xf borderId="12" fillId="0" fontId="4" numFmtId="164" xfId="0" applyAlignment="1" applyBorder="1" applyFont="1" applyNumberFormat="1">
      <alignment horizontal="right"/>
    </xf>
    <xf borderId="13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16" fillId="0" fontId="7" numFmtId="0" xfId="0" applyAlignment="1" applyBorder="1" applyFont="1">
      <alignment readingOrder="0"/>
    </xf>
    <xf borderId="17" fillId="0" fontId="7" numFmtId="0" xfId="0" applyAlignment="1" applyBorder="1" applyFont="1">
      <alignment horizontal="right" readingOrder="0"/>
    </xf>
    <xf borderId="17" fillId="0" fontId="7" numFmtId="10" xfId="0" applyAlignment="1" applyBorder="1" applyFont="1" applyNumberFormat="1">
      <alignment horizontal="right"/>
    </xf>
    <xf borderId="18" fillId="0" fontId="7" numFmtId="10" xfId="0" applyAlignment="1" applyBorder="1" applyFont="1" applyNumberFormat="1">
      <alignment horizontal="right"/>
    </xf>
    <xf borderId="17" fillId="0" fontId="7" numFmtId="10" xfId="0" applyAlignment="1" applyBorder="1" applyFont="1" applyNumberFormat="1">
      <alignment horizontal="right" readingOrder="0"/>
    </xf>
    <xf borderId="18" fillId="0" fontId="7" numFmtId="10" xfId="0" applyAlignment="1" applyBorder="1" applyFont="1" applyNumberFormat="1">
      <alignment horizontal="right" readingOrder="0"/>
    </xf>
    <xf borderId="9" fillId="0" fontId="7" numFmtId="0" xfId="0" applyAlignment="1" applyBorder="1" applyFont="1">
      <alignment readingOrder="0"/>
    </xf>
    <xf borderId="0" fillId="0" fontId="7" numFmtId="164" xfId="0" applyAlignment="1" applyFont="1" applyNumberFormat="1">
      <alignment horizontal="right" readingOrder="0"/>
    </xf>
    <xf borderId="15" fillId="0" fontId="7" numFmtId="10" xfId="0" applyAlignment="1" applyBorder="1" applyFont="1" applyNumberFormat="1">
      <alignment horizontal="right"/>
    </xf>
    <xf borderId="10" fillId="0" fontId="4" numFmtId="10" xfId="0" applyAlignment="1" applyBorder="1" applyFont="1" applyNumberFormat="1">
      <alignment horizontal="right"/>
    </xf>
    <xf borderId="9" fillId="0" fontId="8" numFmtId="0" xfId="0" applyAlignment="1" applyBorder="1" applyFont="1">
      <alignment readingOrder="0"/>
    </xf>
    <xf borderId="0" fillId="0" fontId="4" numFmtId="2" xfId="0" applyAlignment="1" applyFont="1" applyNumberFormat="1">
      <alignment horizontal="right"/>
    </xf>
    <xf borderId="10" fillId="0" fontId="4" numFmtId="2" xfId="0" applyAlignment="1" applyBorder="1" applyFont="1" applyNumberFormat="1">
      <alignment horizontal="right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right"/>
    </xf>
    <xf borderId="7" fillId="0" fontId="7" numFmtId="10" xfId="0" applyAlignment="1" applyBorder="1" applyFont="1" applyNumberFormat="1">
      <alignment horizontal="right"/>
    </xf>
    <xf borderId="8" fillId="0" fontId="7" numFmtId="10" xfId="0" applyAlignment="1" applyBorder="1" applyFont="1" applyNumberFormat="1">
      <alignment horizontal="right"/>
    </xf>
    <xf borderId="7" fillId="0" fontId="7" numFmtId="9" xfId="0" applyAlignment="1" applyBorder="1" applyFont="1" applyNumberFormat="1">
      <alignment horizontal="right" readingOrder="0"/>
    </xf>
    <xf borderId="8" fillId="0" fontId="7" numFmtId="9" xfId="0" applyAlignment="1" applyBorder="1" applyFont="1" applyNumberFormat="1">
      <alignment horizontal="right" readingOrder="0"/>
    </xf>
    <xf borderId="0" fillId="0" fontId="4" numFmtId="10" xfId="0" applyFont="1" applyNumberFormat="1"/>
    <xf borderId="0" fillId="0" fontId="4" numFmtId="0" xfId="0" applyFont="1"/>
    <xf borderId="0" fillId="0" fontId="4" numFmtId="0" xfId="0" applyAlignment="1" applyFont="1">
      <alignment horizontal="center" readingOrder="0"/>
    </xf>
    <xf borderId="14" fillId="0" fontId="4" numFmtId="164" xfId="0" applyAlignment="1" applyBorder="1" applyFont="1" applyNumberFormat="1">
      <alignment horizontal="right"/>
    </xf>
    <xf borderId="0" fillId="0" fontId="4" numFmtId="165" xfId="0" applyAlignment="1" applyFont="1" applyNumberFormat="1">
      <alignment horizontal="right"/>
    </xf>
    <xf borderId="10" fillId="0" fontId="4" numFmtId="165" xfId="0" applyAlignment="1" applyBorder="1" applyFont="1" applyNumberFormat="1">
      <alignment horizontal="right"/>
    </xf>
    <xf borderId="0" fillId="0" fontId="7" numFmtId="0" xfId="0" applyAlignment="1" applyFont="1">
      <alignment horizontal="right" readingOrder="0"/>
    </xf>
    <xf borderId="15" fillId="0" fontId="7" numFmtId="0" xfId="0" applyAlignment="1" applyBorder="1" applyFont="1">
      <alignment horizontal="right" readingOrder="0"/>
    </xf>
    <xf borderId="15" fillId="0" fontId="4" numFmtId="0" xfId="0" applyBorder="1" applyFont="1"/>
    <xf borderId="15" fillId="0" fontId="4" numFmtId="0" xfId="0" applyAlignment="1" applyBorder="1" applyFont="1">
      <alignment horizontal="right"/>
    </xf>
    <xf borderId="15" fillId="0" fontId="4" numFmtId="164" xfId="0" applyAlignment="1" applyBorder="1" applyFont="1" applyNumberFormat="1">
      <alignment horizontal="right"/>
    </xf>
    <xf borderId="15" fillId="0" fontId="4" numFmtId="0" xfId="0" applyAlignment="1" applyBorder="1" applyFont="1">
      <alignment readingOrder="0"/>
    </xf>
    <xf borderId="19" fillId="0" fontId="4" numFmtId="164" xfId="0" applyAlignment="1" applyBorder="1" applyFont="1" applyNumberFormat="1">
      <alignment horizontal="right"/>
    </xf>
    <xf borderId="20" fillId="0" fontId="8" numFmtId="0" xfId="0" applyAlignment="1" applyBorder="1" applyFont="1">
      <alignment readingOrder="0"/>
    </xf>
    <xf borderId="21" fillId="0" fontId="4" numFmtId="164" xfId="0" applyAlignment="1" applyBorder="1" applyFont="1" applyNumberFormat="1">
      <alignment horizontal="right"/>
    </xf>
    <xf borderId="22" fillId="0" fontId="4" numFmtId="164" xfId="0" applyAlignment="1" applyBorder="1" applyFont="1" applyNumberFormat="1">
      <alignment horizontal="right"/>
    </xf>
    <xf borderId="23" fillId="0" fontId="4" numFmtId="164" xfId="0" applyAlignment="1" applyBorder="1" applyFont="1" applyNumberFormat="1">
      <alignment horizontal="right"/>
    </xf>
    <xf borderId="12" fillId="0" fontId="4" numFmtId="164" xfId="0" applyAlignment="1" applyBorder="1" applyFont="1" applyNumberFormat="1">
      <alignment horizontal="left"/>
    </xf>
    <xf borderId="13" fillId="0" fontId="4" numFmtId="164" xfId="0" applyAlignment="1" applyBorder="1" applyFont="1" applyNumberFormat="1">
      <alignment horizontal="left"/>
    </xf>
    <xf borderId="10" fillId="0" fontId="4" numFmtId="10" xfId="0" applyBorder="1" applyFont="1" applyNumberFormat="1"/>
    <xf borderId="12" fillId="0" fontId="4" numFmtId="165" xfId="0" applyAlignment="1" applyBorder="1" applyFont="1" applyNumberFormat="1">
      <alignment horizontal="left"/>
    </xf>
    <xf borderId="0" fillId="0" fontId="4" numFmtId="164" xfId="0" applyAlignment="1" applyFont="1" applyNumberFormat="1">
      <alignment horizontal="left"/>
    </xf>
    <xf borderId="10" fillId="0" fontId="4" numFmtId="164" xfId="0" applyAlignment="1" applyBorder="1" applyFont="1" applyNumberFormat="1">
      <alignment horizontal="left"/>
    </xf>
    <xf borderId="14" fillId="0" fontId="4" numFmtId="164" xfId="0" applyBorder="1" applyFont="1" applyNumberFormat="1"/>
    <xf borderId="12" fillId="0" fontId="4" numFmtId="164" xfId="0" applyBorder="1" applyFont="1" applyNumberFormat="1"/>
    <xf borderId="13" fillId="0" fontId="4" numFmtId="164" xfId="0" applyBorder="1" applyFont="1" applyNumberFormat="1"/>
    <xf borderId="4" fillId="0" fontId="4" numFmtId="0" xfId="0" applyBorder="1" applyFont="1"/>
    <xf borderId="0" fillId="0" fontId="10" numFmtId="0" xfId="0" applyAlignment="1" applyFont="1">
      <alignment horizontal="center" readingOrder="0"/>
    </xf>
    <xf borderId="24" fillId="2" fontId="11" numFmtId="0" xfId="0" applyAlignment="1" applyBorder="1" applyFont="1">
      <alignment horizontal="center" readingOrder="0"/>
    </xf>
    <xf borderId="24" fillId="2" fontId="4" numFmtId="0" xfId="0" applyAlignment="1" applyBorder="1" applyFont="1">
      <alignment horizontal="center" readingOrder="0"/>
    </xf>
    <xf borderId="21" fillId="0" fontId="6" numFmtId="0" xfId="0" applyBorder="1" applyFont="1"/>
    <xf borderId="21" fillId="2" fontId="4" numFmtId="0" xfId="0" applyAlignment="1" applyBorder="1" applyFont="1">
      <alignment readingOrder="0"/>
    </xf>
    <xf borderId="15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0" fillId="0" fontId="4" numFmtId="164" xfId="0" applyAlignment="1" applyBorder="1" applyFont="1" applyNumberFormat="1">
      <alignment readingOrder="0"/>
    </xf>
    <xf borderId="0" fillId="0" fontId="7" numFmtId="10" xfId="0" applyFont="1" applyNumberFormat="1"/>
    <xf borderId="15" fillId="0" fontId="7" numFmtId="10" xfId="0" applyBorder="1" applyFont="1" applyNumberFormat="1"/>
    <xf borderId="10" fillId="0" fontId="7" numFmtId="10" xfId="0" applyBorder="1" applyFont="1" applyNumberFormat="1"/>
    <xf borderId="15" fillId="0" fontId="4" numFmtId="164" xfId="0" applyBorder="1" applyFont="1" applyNumberFormat="1"/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5" fillId="0" fontId="4" numFmtId="2" xfId="0" applyBorder="1" applyFont="1" applyNumberFormat="1"/>
    <xf borderId="0" fillId="0" fontId="4" numFmtId="2" xfId="0" applyFont="1" applyNumberFormat="1"/>
    <xf borderId="10" fillId="0" fontId="4" numFmtId="2" xfId="0" applyBorder="1" applyFont="1" applyNumberFormat="1"/>
    <xf borderId="7" fillId="0" fontId="4" numFmtId="0" xfId="0" applyAlignment="1" applyBorder="1" applyFont="1">
      <alignment readingOrder="0"/>
    </xf>
    <xf borderId="7" fillId="0" fontId="4" numFmtId="164" xfId="0" applyBorder="1" applyFont="1" applyNumberFormat="1"/>
    <xf borderId="25" fillId="2" fontId="8" numFmtId="0" xfId="0" applyAlignment="1" applyBorder="1" applyFont="1">
      <alignment horizontal="center" readingOrder="0"/>
    </xf>
    <xf borderId="2" fillId="0" fontId="6" numFmtId="0" xfId="0" applyBorder="1" applyFont="1"/>
    <xf borderId="9" fillId="0" fontId="4" numFmtId="0" xfId="0" applyAlignment="1" applyBorder="1" applyFont="1">
      <alignment horizontal="left" readingOrder="0"/>
    </xf>
    <xf borderId="10" fillId="0" fontId="4" numFmtId="10" xfId="0" applyAlignment="1" applyBorder="1" applyFont="1" applyNumberFormat="1">
      <alignment readingOrder="0"/>
    </xf>
    <xf borderId="10" fillId="0" fontId="4" numFmtId="4" xfId="0" applyBorder="1" applyFont="1" applyNumberFormat="1"/>
    <xf borderId="9" fillId="0" fontId="4" numFmtId="0" xfId="0" applyAlignment="1" applyBorder="1" applyFont="1">
      <alignment readingOrder="0"/>
    </xf>
    <xf borderId="9" fillId="0" fontId="4" numFmtId="10" xfId="0" applyAlignment="1" applyBorder="1" applyFont="1" applyNumberFormat="1">
      <alignment readingOrder="0"/>
    </xf>
    <xf borderId="6" fillId="0" fontId="8" numFmtId="0" xfId="0" applyAlignment="1" applyBorder="1" applyFont="1">
      <alignment readingOrder="0"/>
    </xf>
    <xf borderId="8" fillId="0" fontId="4" numFmtId="9" xfId="0" applyAlignment="1" applyBorder="1" applyFont="1" applyNumberFormat="1">
      <alignment readingOrder="0"/>
    </xf>
    <xf borderId="24" fillId="2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5" fillId="0" fontId="4" numFmtId="0" xfId="0" applyBorder="1" applyFont="1"/>
    <xf borderId="9" fillId="0" fontId="4" numFmtId="164" xfId="0" applyAlignment="1" applyBorder="1" applyFont="1" applyNumberFormat="1">
      <alignment readingOrder="0"/>
    </xf>
    <xf borderId="26" fillId="0" fontId="8" numFmtId="0" xfId="0" applyAlignment="1" applyBorder="1" applyFont="1">
      <alignment readingOrder="0"/>
    </xf>
    <xf borderId="26" fillId="0" fontId="4" numFmtId="164" xfId="0" applyBorder="1" applyFont="1" applyNumberFormat="1"/>
    <xf borderId="5" fillId="0" fontId="4" numFmtId="164" xfId="0" applyBorder="1" applyFont="1" applyNumberFormat="1"/>
    <xf borderId="23" fillId="0" fontId="4" numFmtId="0" xfId="0" applyBorder="1" applyFont="1"/>
    <xf borderId="0" fillId="0" fontId="4" numFmtId="10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0" xfId="0" applyFont="1" applyNumberFormat="1"/>
    <xf borderId="0" fillId="0" fontId="2" numFmtId="0" xfId="0" applyAlignment="1" applyFont="1">
      <alignment horizontal="center" readingOrder="0"/>
    </xf>
    <xf borderId="0" fillId="3" fontId="4" numFmtId="0" xfId="0" applyFill="1" applyFont="1"/>
    <xf borderId="0" fillId="3" fontId="12" numFmtId="0" xfId="0" applyAlignment="1" applyFont="1">
      <alignment horizontal="left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27" fillId="0" fontId="14" numFmtId="166" xfId="0" applyAlignment="1" applyBorder="1" applyFont="1" applyNumberFormat="1">
      <alignment horizontal="center"/>
    </xf>
    <xf borderId="27" fillId="0" fontId="14" numFmtId="167" xfId="0" applyAlignment="1" applyBorder="1" applyFont="1" applyNumberFormat="1">
      <alignment horizontal="center" readingOrder="0"/>
    </xf>
    <xf borderId="0" fillId="0" fontId="13" numFmtId="10" xfId="0" applyFont="1" applyNumberFormat="1"/>
    <xf borderId="27" fillId="0" fontId="15" numFmtId="167" xfId="0" applyAlignment="1" applyBorder="1" applyFont="1" applyNumberFormat="1">
      <alignment horizontal="center" readingOrder="0"/>
    </xf>
    <xf borderId="27" fillId="0" fontId="14" numFmtId="3" xfId="0" applyAlignment="1" applyBorder="1" applyFont="1" applyNumberFormat="1">
      <alignment horizontal="center" readingOrder="0"/>
    </xf>
    <xf borderId="0" fillId="0" fontId="13" numFmtId="4" xfId="0" applyFont="1" applyNumberFormat="1"/>
    <xf borderId="27" fillId="0" fontId="14" numFmtId="168" xfId="0" applyAlignment="1" applyBorder="1" applyFont="1" applyNumberForma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166" xfId="0" applyAlignment="1" applyFont="1" applyNumberFormat="1">
      <alignment horizontal="center" readingOrder="0"/>
    </xf>
    <xf borderId="0" fillId="0" fontId="13" numFmtId="168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ndeed" id="{47ca95a7-d218-4fab-bff2-d97b7ab012e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3" dT="2025-09-05T16:38:51.00" personId="{47ca95a7-d218-4fab-bff2-d97b7ab012ea}" id="{d023c261-1319-4ebd-9abc-a01b20e906b8}" done="1">
    <x18tc:text xml:space="preserve">Average annual growth of USA GDP</x18tc:text>
  </x18tc:threadedComment>
  <x18tc:threadedComment ref="C71" dT="2025-09-06T17:06:34.00" personId="{47ca95a7-d218-4fab-bff2-d97b7ab012ea}" id="{adbd7ead-6e96-4df0-bf65-afd2d67e8671}" done="0">
    <x18tc:text xml:space="preserve">Average annual growth rate of USA GDP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radingview.com/markets/stocks-usa/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 ht="75.0" customHeight="1">
      <c r="C1" s="1" t="s">
        <v>0</v>
      </c>
      <c r="D1" s="2" t="s">
        <v>1</v>
      </c>
    </row>
    <row r="3" ht="31.5" customHeight="1">
      <c r="C3" s="3" t="s">
        <v>2</v>
      </c>
      <c r="D3" s="4">
        <f>IFERROR(__xludf.DUMMYFUNCTION("GOOGLEFINANCE(D1,""PRICE"")"),125.37)</f>
        <v>125.37</v>
      </c>
      <c r="E3" s="5" t="s">
        <v>3</v>
      </c>
      <c r="F3" s="6">
        <f>D4/D3-1</f>
        <v>0.1962202601</v>
      </c>
    </row>
    <row r="4" ht="32.25" customHeight="1">
      <c r="C4" s="7" t="s">
        <v>4</v>
      </c>
      <c r="D4" s="8">
        <f>DCF!C85</f>
        <v>149.970134</v>
      </c>
      <c r="E4" s="5" t="s">
        <v>5</v>
      </c>
      <c r="F4" s="6">
        <f>IFERROR(__xludf.DUMMYFUNCTION("(D3-INDEX(GOOGLEFINANCE(D1,""price"",EDATE(TODAY(),-1)),2,2))/D3"),0.0813591768365638)</f>
        <v>0.08135917684</v>
      </c>
    </row>
    <row r="5" ht="7.5" customHeight="1">
      <c r="C5" s="9"/>
      <c r="D5" s="9"/>
    </row>
    <row r="6" ht="32.25" customHeight="1">
      <c r="C6" s="10" t="s">
        <v>6</v>
      </c>
      <c r="D6" s="8" t="str">
        <f>IFERROR(__xludf.DUMMYFUNCTION("SPARKLINE(INDEX(GOOGLEFINANCE(D1,""price"",EDATE(today(),-12),today()), ,2),{""charttype"",""column"";""color"",""red""})"),"")</f>
        <v/>
      </c>
      <c r="E6" s="5" t="s">
        <v>7</v>
      </c>
      <c r="F6" s="6">
        <f>IFERROR(__xludf.DUMMYFUNCTION("(D3-INDEX(GOOGLEFINANCE(D1,""price"",EDATE(TODAY(),-6)),2,2))/D3"),0.15091329664193986)</f>
        <v>0.1509132966</v>
      </c>
    </row>
    <row r="7" ht="7.5" customHeight="1">
      <c r="C7" s="9"/>
      <c r="D7" s="9"/>
    </row>
    <row r="8" ht="32.25" customHeight="1">
      <c r="C8" s="10" t="s">
        <v>8</v>
      </c>
      <c r="D8" s="8" t="str">
        <f>IFERROR(__xludf.DUMMYFUNCTION("SPARKLINE(INDEX(GOOGLEFINANCE(D1,""price"",EDATE(today(),-60),today()), ,2),{""charttype"",""column"";""color"",""red""})"),"")</f>
        <v/>
      </c>
      <c r="E8" s="5" t="s">
        <v>9</v>
      </c>
      <c r="F8" s="6">
        <f>IFERROR(__xludf.DUMMYFUNCTION("(D3-INDEX(GOOGLEFINANCE(D1,""price"",EDATE(TODAY(),-12)),2,2))/D3"),0.3474515434314429)</f>
        <v>0.3474515434</v>
      </c>
    </row>
    <row r="11">
      <c r="A11" s="11"/>
      <c r="B11" s="12" t="s">
        <v>10</v>
      </c>
      <c r="C11" s="13" t="s">
        <v>11</v>
      </c>
      <c r="D11" s="14"/>
      <c r="E11" s="14"/>
      <c r="F11" s="14"/>
      <c r="G11" s="15"/>
      <c r="H11" s="13" t="s">
        <v>12</v>
      </c>
      <c r="I11" s="14"/>
      <c r="J11" s="14"/>
      <c r="K11" s="14"/>
      <c r="L11" s="15"/>
    </row>
    <row r="12">
      <c r="A12" s="11"/>
      <c r="B12" s="16"/>
      <c r="C12" s="17">
        <v>2020.0</v>
      </c>
      <c r="D12" s="17">
        <v>2021.0</v>
      </c>
      <c r="E12" s="17">
        <v>2022.0</v>
      </c>
      <c r="F12" s="17">
        <v>2023.0</v>
      </c>
      <c r="G12" s="18">
        <v>2024.0</v>
      </c>
      <c r="H12" s="17">
        <v>2025.0</v>
      </c>
      <c r="I12" s="17">
        <v>2026.0</v>
      </c>
      <c r="J12" s="17">
        <v>2027.0</v>
      </c>
      <c r="K12" s="17">
        <v>2028.0</v>
      </c>
      <c r="L12" s="18">
        <v>2029.0</v>
      </c>
    </row>
    <row r="13" ht="3.75" customHeight="1">
      <c r="B13" s="19"/>
      <c r="G13" s="20"/>
      <c r="L13" s="20"/>
    </row>
    <row r="14">
      <c r="A14" s="21"/>
      <c r="B14" s="22"/>
      <c r="G14" s="20"/>
      <c r="H14" s="23"/>
      <c r="I14" s="23"/>
      <c r="J14" s="23"/>
      <c r="K14" s="23"/>
      <c r="L14" s="24"/>
    </row>
    <row r="15">
      <c r="A15" s="21"/>
      <c r="B15" s="22" t="s">
        <v>13</v>
      </c>
      <c r="C15" s="25">
        <f>IFERROR(__xludf.DUMMYFUNCTION("IFERROR(
  LET(
    x, UPPER(SUBSTITUTE(TRIM(Data!B5),CHAR(160),"""")),
    base, VALUE(SUBSTITUTE(REGEXEXTRACT(x,""[0-9.,]+""),"","","""")),
    mult, IF(REGEXMATCH(x,""B""),1000000000, IF(REGEXMATCH(x,""M""),1000000, 1)),
    base * mult
  ),
  0
)"),4.891E10)</f>
        <v>48910000000</v>
      </c>
      <c r="D15" s="25">
        <f>IFERROR(__xludf.DUMMYFUNCTION("IFERROR(
  LET(
    x, UPPER(SUBSTITUTE(TRIM(Data!C5),CHAR(160),"""")),
    base, VALUE(SUBSTITUTE(REGEXEXTRACT(x,""[0-9.,]+""),"","","""")),
    mult, IF(REGEXMATCH(x,""B""),1000000000, IF(REGEXMATCH(x,""M""),1000000, 1)),
    base * mult
  ),
  0
)"),5.847E10)</f>
        <v>58470000000</v>
      </c>
      <c r="E15" s="25">
        <f>IFERROR(__xludf.DUMMYFUNCTION("IFERROR(
  LET(
    x, UPPER(SUBSTITUTE(TRIM(Data!D5),CHAR(160),"""")),
    base, VALUE(SUBSTITUTE(REGEXEXTRACT(x,""[0-9.,]+""),"","","""")),
    mult, IF(REGEXMATCH(x,""B""),1000000000, IF(REGEXMATCH(x,""M""),1000000, 1)),
    base * mult
  ),
  0
)"),5.987E10)</f>
        <v>59870000000</v>
      </c>
      <c r="F15" s="25">
        <f>IFERROR(__xludf.DUMMYFUNCTION("IFERROR(
  LET(
    x, UPPER(SUBSTITUTE(TRIM(Data!E5),CHAR(160),"""")),
    base, VALUE(SUBSTITUTE(REGEXEXTRACT(x,""[0-9.,]+""),"","","""")),
    mult, IF(REGEXMATCH(x,""B""),1000000000, IF(REGEXMATCH(x,""M""),1000000, 1)),
    base * mult
  ),
  0
)"),6.397E10)</f>
        <v>63970000000</v>
      </c>
      <c r="G15" s="26">
        <f>IFERROR(__xludf.DUMMYFUNCTION("IFERROR(
  LET(
    x, UPPER(SUBSTITUTE(TRIM(Data!F5),CHAR(160),"""")),
    base, VALUE(SUBSTITUTE(REGEXEXTRACT(x,""[0-9.,]+""),"","","""")),
    mult, IF(REGEXMATCH(x,""B""),1000000000, IF(REGEXMATCH(x,""M""),1000000, 1)),
    base * mult
  ),
  0
)"),6.493000000000001E10)</f>
        <v>64930000000</v>
      </c>
      <c r="H15" s="25">
        <f>DCF!H8</f>
        <v>66680000000</v>
      </c>
      <c r="I15" s="25">
        <f t="shared" ref="I15:L15" si="1">H15*(1+H16)</f>
        <v>71574368703</v>
      </c>
      <c r="J15" s="25">
        <f t="shared" si="1"/>
        <v>76827988232</v>
      </c>
      <c r="K15" s="25">
        <f t="shared" si="1"/>
        <v>82467227901</v>
      </c>
      <c r="L15" s="26">
        <f t="shared" si="1"/>
        <v>88520392558</v>
      </c>
    </row>
    <row r="16">
      <c r="A16" s="27"/>
      <c r="B16" s="28" t="s">
        <v>14</v>
      </c>
      <c r="C16" s="29" t="str">
        <f>Data!B6</f>
        <v>-</v>
      </c>
      <c r="D16" s="30">
        <f>Data!C6</f>
        <v>0.1956</v>
      </c>
      <c r="E16" s="30">
        <f>Data!D6</f>
        <v>0.0239</v>
      </c>
      <c r="F16" s="30">
        <f>Data!E6</f>
        <v>0.0685</v>
      </c>
      <c r="G16" s="31">
        <f>Data!F6</f>
        <v>0.0149</v>
      </c>
      <c r="H16" s="30">
        <f>(G15/C15)^(1/4)-1</f>
        <v>0.07340085038</v>
      </c>
      <c r="I16" s="32">
        <f t="shared" ref="I16:L16" si="2">H16</f>
        <v>0.07340085038</v>
      </c>
      <c r="J16" s="32">
        <f t="shared" si="2"/>
        <v>0.07340085038</v>
      </c>
      <c r="K16" s="32">
        <f t="shared" si="2"/>
        <v>0.07340085038</v>
      </c>
      <c r="L16" s="33">
        <f t="shared" si="2"/>
        <v>0.07340085038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3.75" customHeight="1">
      <c r="B17" s="19"/>
      <c r="C17" s="35"/>
      <c r="D17" s="35"/>
      <c r="E17" s="35"/>
      <c r="F17" s="35"/>
      <c r="G17" s="36"/>
      <c r="H17" s="35"/>
      <c r="I17" s="35"/>
      <c r="J17" s="35"/>
      <c r="K17" s="35"/>
      <c r="L17" s="36"/>
    </row>
    <row r="18">
      <c r="A18" s="21"/>
      <c r="B18" s="22" t="s">
        <v>15</v>
      </c>
      <c r="C18" s="35" t="str">
        <f>Data!B7</f>
        <v>13.47B</v>
      </c>
      <c r="D18" s="35" t="str">
        <f>Data!C7</f>
        <v>17.21B</v>
      </c>
      <c r="E18" s="35" t="str">
        <f>Data!D7</f>
        <v>15.98B</v>
      </c>
      <c r="F18" s="35" t="str">
        <f>Data!E7</f>
        <v>16.8B</v>
      </c>
      <c r="G18" s="36" t="str">
        <f>Data!F7</f>
        <v>18.2B</v>
      </c>
      <c r="H18" s="25">
        <f t="shared" ref="H18:L18" si="3">H15-H19</f>
        <v>16604960796</v>
      </c>
      <c r="I18" s="25">
        <f t="shared" si="3"/>
        <v>17914844816</v>
      </c>
      <c r="J18" s="25">
        <f t="shared" si="3"/>
        <v>19327394131</v>
      </c>
      <c r="K18" s="25">
        <f t="shared" si="3"/>
        <v>20850611084</v>
      </c>
      <c r="L18" s="26">
        <f t="shared" si="3"/>
        <v>22493118799</v>
      </c>
    </row>
    <row r="19">
      <c r="A19" s="37"/>
      <c r="B19" s="38" t="s">
        <v>16</v>
      </c>
      <c r="C19" s="39" t="str">
        <f>Data!B13</f>
        <v>35.44B</v>
      </c>
      <c r="D19" s="39" t="str">
        <f>Data!C13</f>
        <v>41.27B</v>
      </c>
      <c r="E19" s="39" t="str">
        <f>Data!D13</f>
        <v>43.89B</v>
      </c>
      <c r="F19" s="39" t="str">
        <f>Data!E13</f>
        <v>47.17B</v>
      </c>
      <c r="G19" s="40" t="str">
        <f>Data!F13</f>
        <v>46.73B</v>
      </c>
      <c r="H19" s="41">
        <f>IFERROR(__xludf.DUMMYFUNCTION("REGEXREPLACE(G19,""B"","""")*1000000000*(1+H20)"),5.007503920394899E10)</f>
        <v>50075039204</v>
      </c>
      <c r="I19" s="42">
        <f t="shared" ref="I19:L19" si="4">H19*(1+I20)</f>
        <v>53659523888</v>
      </c>
      <c r="J19" s="42">
        <f t="shared" si="4"/>
        <v>57500594101</v>
      </c>
      <c r="K19" s="42">
        <f t="shared" si="4"/>
        <v>61616616817</v>
      </c>
      <c r="L19" s="43">
        <f t="shared" si="4"/>
        <v>66027273758</v>
      </c>
    </row>
    <row r="20">
      <c r="A20" s="27"/>
      <c r="B20" s="28" t="s">
        <v>17</v>
      </c>
      <c r="C20" s="29" t="str">
        <f>Data!B14</f>
        <v>-</v>
      </c>
      <c r="D20" s="30">
        <f>Data!C14</f>
        <v>0.1644</v>
      </c>
      <c r="E20" s="30">
        <f>Data!D14</f>
        <v>0.0637</v>
      </c>
      <c r="F20" s="30">
        <f>Data!E14</f>
        <v>0.0747</v>
      </c>
      <c r="G20" s="30">
        <f>Data!F14</f>
        <v>-0.0093</v>
      </c>
      <c r="H20" s="44">
        <f>IFERROR(__xludf.DUMMYFUNCTION("(REGEXREPLACE(G19,""B"","""")/REGEXREPLACE(C19,""B"",""""))^(1/4)-1"),0.07158226415469704)</f>
        <v>0.07158226415</v>
      </c>
      <c r="I20" s="32">
        <f t="shared" ref="I20:L20" si="5">H20</f>
        <v>0.07158226415</v>
      </c>
      <c r="J20" s="32">
        <f t="shared" si="5"/>
        <v>0.07158226415</v>
      </c>
      <c r="K20" s="32">
        <f t="shared" si="5"/>
        <v>0.07158226415</v>
      </c>
      <c r="L20" s="33">
        <f t="shared" si="5"/>
        <v>0.07158226415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3.75" customHeight="1">
      <c r="B21" s="19"/>
      <c r="C21" s="35"/>
      <c r="D21" s="35"/>
      <c r="E21" s="35"/>
      <c r="F21" s="35"/>
      <c r="G21" s="36"/>
      <c r="H21" s="35"/>
      <c r="I21" s="35"/>
      <c r="J21" s="35"/>
      <c r="K21" s="35"/>
      <c r="L21" s="36"/>
    </row>
    <row r="22">
      <c r="B22" s="19"/>
      <c r="C22" s="35"/>
      <c r="D22" s="35"/>
      <c r="E22" s="35"/>
      <c r="F22" s="35"/>
      <c r="G22" s="36"/>
      <c r="H22" s="45"/>
      <c r="I22" s="35"/>
      <c r="J22" s="35"/>
      <c r="K22" s="35"/>
      <c r="L22" s="36"/>
    </row>
    <row r="23">
      <c r="A23" s="21"/>
      <c r="B23" s="22" t="s">
        <v>18</v>
      </c>
      <c r="C23" s="25">
        <f>IFERROR(__xludf.DUMMYFUNCTION("IFERROR(
  LET(
    x, UPPER(SUBSTITUTE(TRIM(Data!B16),CHAR(160),"""")),
    base, VALUE(SUBSTITUTE(REGEXEXTRACT(x,""[0-9.,]+""),"","","""")),
    mult, IF(REGEXMATCH(x,""B""),1000000000, IF(REGEXMATCH(x,""M""),1000000, 1)),
    base * mult
  ),
  0
)"),1.982E10)</f>
        <v>19820000000</v>
      </c>
      <c r="D23" s="25">
        <f>IFERROR(__xludf.DUMMYFUNCTION("IFERROR(
  LET(
    x, UPPER(SUBSTITUTE(TRIM(Data!C16),CHAR(160),"""")),
    base, VALUE(SUBSTITUTE(REGEXEXTRACT(x,""[0-9.,]+""),"","","""")),
    mult, IF(REGEXMATCH(x,""B""),1000000000, IF(REGEXMATCH(x,""M""),1000000, 1)),
    base * mult
  ),
  0
)"),2.177E10)</f>
        <v>21770000000</v>
      </c>
      <c r="E23" s="25">
        <f>IFERROR(__xludf.DUMMYFUNCTION("IFERROR(
  LET(
    x, UPPER(SUBSTITUTE(TRIM(Data!D16),CHAR(160),"""")),
    base, VALUE(SUBSTITUTE(REGEXEXTRACT(x,""[0-9.,]+""),"","","""")),
    mult, IF(REGEXMATCH(x,""B""),1000000000, IF(REGEXMATCH(x,""M""),1000000, 1)),
    base * mult
  ),
  0
)"),4.091E10)</f>
        <v>40910000000</v>
      </c>
      <c r="F23" s="25">
        <f>IFERROR(__xludf.DUMMYFUNCTION("IFERROR(
  LET(
    x, UPPER(SUBSTITUTE(TRIM(Data!E16),CHAR(160),"""")),
    base, VALUE(SUBSTITUTE(REGEXEXTRACT(x,""[0-9.,]+""),"","","""")),
    mult, IF(REGEXMATCH(x,""B""),1000000000, IF(REGEXMATCH(x,""M""),1000000, 1)),
    base * mult
  ),
  0
)"),2.653E10)</f>
        <v>26530000000</v>
      </c>
      <c r="G23" s="26">
        <f>IFERROR(__xludf.DUMMYFUNCTION("IFERROR(
  LET(
    x, UPPER(SUBSTITUTE(TRIM(Data!F16),CHAR(160),"""")),
    base, VALUE(SUBSTITUTE(REGEXEXTRACT(x,""[0-9.,]+""),"","","""")),
    mult, IF(REGEXMATCH(x,""B""),1000000000, IF(REGEXMATCH(x,""M""),1000000, 1)),
    base * mult
  ),
  0
)"),2.325E10)</f>
        <v>23250000000</v>
      </c>
      <c r="H23" s="46" t="s">
        <v>19</v>
      </c>
      <c r="I23" s="46" t="s">
        <v>19</v>
      </c>
      <c r="J23" s="46" t="s">
        <v>19</v>
      </c>
      <c r="K23" s="46" t="s">
        <v>19</v>
      </c>
      <c r="L23" s="47" t="s">
        <v>19</v>
      </c>
    </row>
    <row r="24">
      <c r="A24" s="48"/>
      <c r="B24" s="49" t="s">
        <v>20</v>
      </c>
      <c r="C24" s="25" t="str">
        <f>Data!B10</f>
        <v>3.21B</v>
      </c>
      <c r="D24" s="25" t="str">
        <f>Data!C10</f>
        <v>3.91B</v>
      </c>
      <c r="E24" s="25" t="str">
        <f>Data!D10</f>
        <v>3.87B</v>
      </c>
      <c r="F24" s="25" t="str">
        <f>Data!E10</f>
        <v>4.5B</v>
      </c>
      <c r="G24" s="26" t="str">
        <f>Data!F10</f>
        <v>5.84B</v>
      </c>
      <c r="H24" s="46" t="s">
        <v>19</v>
      </c>
      <c r="I24" s="46" t="s">
        <v>19</v>
      </c>
      <c r="J24" s="46" t="s">
        <v>19</v>
      </c>
      <c r="K24" s="46" t="s">
        <v>19</v>
      </c>
      <c r="L24" s="47" t="s">
        <v>19</v>
      </c>
    </row>
    <row r="25">
      <c r="A25" s="21"/>
      <c r="B25" s="22" t="s">
        <v>21</v>
      </c>
      <c r="C25" s="25" t="str">
        <f>Data!B21</f>
        <v>3.16B</v>
      </c>
      <c r="D25" s="25" t="str">
        <f>Data!C21</f>
        <v>2.27B</v>
      </c>
      <c r="E25" s="25" t="str">
        <f>Data!D21</f>
        <v>1.03B</v>
      </c>
      <c r="F25" s="25" t="str">
        <f>Data!E21</f>
        <v>1.18B</v>
      </c>
      <c r="G25" s="26" t="str">
        <f>Data!F21</f>
        <v>1.7B</v>
      </c>
      <c r="H25" s="46" t="s">
        <v>19</v>
      </c>
      <c r="I25" s="46" t="s">
        <v>19</v>
      </c>
      <c r="J25" s="46" t="s">
        <v>19</v>
      </c>
      <c r="K25" s="46" t="s">
        <v>19</v>
      </c>
      <c r="L25" s="47" t="s">
        <v>19</v>
      </c>
    </row>
    <row r="26">
      <c r="A26" s="37"/>
      <c r="B26" s="38" t="s">
        <v>22</v>
      </c>
      <c r="C26" s="50">
        <f t="shared" ref="C26:G26" si="6">C23</f>
        <v>19820000000</v>
      </c>
      <c r="D26" s="50">
        <f t="shared" si="6"/>
        <v>21770000000</v>
      </c>
      <c r="E26" s="50">
        <f t="shared" si="6"/>
        <v>40910000000</v>
      </c>
      <c r="F26" s="50">
        <f t="shared" si="6"/>
        <v>26530000000</v>
      </c>
      <c r="G26" s="51">
        <f t="shared" si="6"/>
        <v>23250000000</v>
      </c>
      <c r="H26" s="50">
        <f t="shared" ref="H26:L26" si="7">G26*(1+H27)</f>
        <v>24196513023</v>
      </c>
      <c r="I26" s="42">
        <f t="shared" si="7"/>
        <v>25181558816</v>
      </c>
      <c r="J26" s="42">
        <f t="shared" si="7"/>
        <v>26206706057</v>
      </c>
      <c r="K26" s="42">
        <f t="shared" si="7"/>
        <v>27273587286</v>
      </c>
      <c r="L26" s="43">
        <f t="shared" si="7"/>
        <v>28383901503</v>
      </c>
    </row>
    <row r="27">
      <c r="A27" s="52"/>
      <c r="B27" s="53" t="s">
        <v>23</v>
      </c>
      <c r="C27" s="54" t="s">
        <v>19</v>
      </c>
      <c r="D27" s="55">
        <f t="shared" ref="D27:G27" si="8">D26/C26-1</f>
        <v>0.09838546922</v>
      </c>
      <c r="E27" s="55">
        <f t="shared" si="8"/>
        <v>0.879191548</v>
      </c>
      <c r="F27" s="55">
        <f t="shared" si="8"/>
        <v>-0.3515032999</v>
      </c>
      <c r="G27" s="56">
        <f t="shared" si="8"/>
        <v>-0.1236336223</v>
      </c>
      <c r="H27" s="55">
        <f>(G26/C26)^(1/4)-1</f>
        <v>0.04071023754</v>
      </c>
      <c r="I27" s="57">
        <f t="shared" ref="I27:L27" si="9">H27</f>
        <v>0.04071023754</v>
      </c>
      <c r="J27" s="57">
        <f t="shared" si="9"/>
        <v>0.04071023754</v>
      </c>
      <c r="K27" s="57">
        <f t="shared" si="9"/>
        <v>0.04071023754</v>
      </c>
      <c r="L27" s="58">
        <f t="shared" si="9"/>
        <v>0.04071023754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7"/>
      <c r="B28" s="38" t="s">
        <v>24</v>
      </c>
      <c r="C28" s="50">
        <f>IFERROR(__xludf.DUMMYFUNCTION("(REGEXREPLACE(C19,""B"","""")*1000000000)-C26"),1.562E10)</f>
        <v>15620000000</v>
      </c>
      <c r="D28" s="50">
        <f>IFERROR(__xludf.DUMMYFUNCTION("(REGEXREPLACE(D19,""B"","""")*1000000000)-D26"),1.95E10)</f>
        <v>19500000000</v>
      </c>
      <c r="E28" s="50">
        <f>IFERROR(__xludf.DUMMYFUNCTION("(REGEXREPLACE(E19,""B"","""")*1000000000)-E26"),2.98E9)</f>
        <v>2980000000</v>
      </c>
      <c r="F28" s="50">
        <f>IFERROR(__xludf.DUMMYFUNCTION("(REGEXREPLACE(F19,""B"","""")*1000000000)-F26"),2.064E10)</f>
        <v>20640000000</v>
      </c>
      <c r="G28" s="51">
        <f>IFERROR(__xludf.DUMMYFUNCTION("(REGEXREPLACE(G19,""B"","""")*1000000000)-G26"),2.348E10)</f>
        <v>23480000000</v>
      </c>
      <c r="H28" s="50">
        <f t="shared" ref="H28:L28" si="10">G28*(1+H29)</f>
        <v>25998743439</v>
      </c>
      <c r="I28" s="50">
        <f t="shared" si="10"/>
        <v>29047664625</v>
      </c>
      <c r="J28" s="50">
        <f t="shared" si="10"/>
        <v>32744615136</v>
      </c>
      <c r="K28" s="50">
        <f t="shared" si="10"/>
        <v>37239529593</v>
      </c>
      <c r="L28" s="51">
        <f t="shared" si="10"/>
        <v>42723864646</v>
      </c>
    </row>
    <row r="29">
      <c r="A29" s="52"/>
      <c r="B29" s="59" t="s">
        <v>25</v>
      </c>
      <c r="C29" s="60" t="s">
        <v>19</v>
      </c>
      <c r="D29" s="30">
        <f t="shared" ref="D29:G29" si="11">D28/C28-1</f>
        <v>0.2483994878</v>
      </c>
      <c r="E29" s="30">
        <f t="shared" si="11"/>
        <v>-0.8471794872</v>
      </c>
      <c r="F29" s="30">
        <f t="shared" si="11"/>
        <v>5.926174497</v>
      </c>
      <c r="G29" s="30">
        <f t="shared" si="11"/>
        <v>0.1375968992</v>
      </c>
      <c r="H29" s="61">
        <f>(G28/C28)^(1/4)-1</f>
        <v>0.1072718671</v>
      </c>
      <c r="I29" s="32">
        <f t="shared" ref="I29:L29" si="12">H29+1%</f>
        <v>0.1172718671</v>
      </c>
      <c r="J29" s="32">
        <f t="shared" si="12"/>
        <v>0.1272718671</v>
      </c>
      <c r="K29" s="32">
        <f t="shared" si="12"/>
        <v>0.1372718671</v>
      </c>
      <c r="L29" s="33">
        <f t="shared" si="12"/>
        <v>0.1472718671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3.75" customHeight="1">
      <c r="B30" s="19"/>
      <c r="C30" s="35"/>
      <c r="D30" s="35"/>
      <c r="E30" s="35"/>
      <c r="F30" s="35"/>
      <c r="G30" s="36"/>
      <c r="H30" s="35"/>
      <c r="I30" s="35"/>
      <c r="J30" s="35"/>
      <c r="K30" s="35"/>
      <c r="L30" s="36"/>
    </row>
    <row r="31">
      <c r="B31" s="19"/>
      <c r="C31" s="35"/>
      <c r="D31" s="35"/>
      <c r="E31" s="35"/>
      <c r="F31" s="35"/>
      <c r="G31" s="36"/>
      <c r="H31" s="35"/>
      <c r="I31" s="35"/>
      <c r="J31" s="35"/>
      <c r="K31" s="35"/>
      <c r="L31" s="36"/>
    </row>
    <row r="32">
      <c r="A32" s="21"/>
      <c r="B32" s="22" t="s">
        <v>26</v>
      </c>
      <c r="C32" s="35" t="str">
        <f>Data!B22</f>
        <v>12.46B</v>
      </c>
      <c r="D32" s="35" t="str">
        <f>Data!C22</f>
        <v>17.23B</v>
      </c>
      <c r="E32" s="35" t="str">
        <f>Data!D22</f>
        <v>1.95B</v>
      </c>
      <c r="F32" s="35" t="str">
        <f>Data!E22</f>
        <v>19.47B</v>
      </c>
      <c r="G32" s="36" t="str">
        <f>Data!F22</f>
        <v>21.78B</v>
      </c>
      <c r="H32" s="46" t="s">
        <v>19</v>
      </c>
      <c r="I32" s="46" t="s">
        <v>19</v>
      </c>
      <c r="J32" s="46" t="s">
        <v>19</v>
      </c>
      <c r="K32" s="46" t="s">
        <v>19</v>
      </c>
      <c r="L32" s="47" t="s">
        <v>19</v>
      </c>
    </row>
    <row r="33">
      <c r="A33" s="37"/>
      <c r="B33" s="38" t="s">
        <v>27</v>
      </c>
      <c r="C33" s="50">
        <f>IFERROR(__xludf.DUMMYFUNCTION("IFERROR(
  LET(
    x, UPPER(SUBSTITUTE(TRIM(Data!B59),CHAR(160),"""")),
    base, VALUE(SUBSTITUTE(REGEXEXTRACT(x,""[0-9.,]+""),"","","""")),
    mult, IF(REGEXMATCH(x,""B""),1000000000, IF(REGEXMATCH(x,""M""),1000000, 1)),
    base * mult
  ),
  0
)"),1.883E10)</f>
        <v>18830000000</v>
      </c>
      <c r="D33" s="50">
        <f>IFERROR(__xludf.DUMMYFUNCTION("IFERROR(
  LET(
    x, UPPER(SUBSTITUTE(TRIM(Data!C59),CHAR(160),"""")),
    base, VALUE(SUBSTITUTE(REGEXEXTRACT(x,""[0-9.,]+""),"","","""")),
    mult, IF(REGEXMATCH(x,""B""),1000000000, IF(REGEXMATCH(x,""M""),1000000, 1)),
    base * mult
  ),
  0
)"),2.341E10)</f>
        <v>23410000000</v>
      </c>
      <c r="E33" s="50">
        <f>IFERROR(__xludf.DUMMYFUNCTION("IFERROR(
  LET(
    x, UPPER(SUBSTITUTE(TRIM(Data!D59),CHAR(160),"""")),
    base, VALUE(SUBSTITUTE(REGEXEXTRACT(x,""[0-9.,]+""),"","","""")),
    mult, IF(REGEXMATCH(x,""B""),1000000000, IF(REGEXMATCH(x,""M""),1000000, 1)),
    base * mult
  ),
  0
)"),6.85E9)</f>
        <v>6850000000</v>
      </c>
      <c r="F33" s="50">
        <f>IFERROR(__xludf.DUMMYFUNCTION("IFERROR(
  LET(
    x, UPPER(SUBSTITUTE(TRIM(Data!E59),CHAR(160),"""")),
    base, VALUE(SUBSTITUTE(REGEXEXTRACT(x,""[0-9.,]+""),"","","""")),
    mult, IF(REGEXMATCH(x,""B""),1000000000, IF(REGEXMATCH(x,""M""),1000000, 1)),
    base * mult
  ),
  0
)"),2.514E10)</f>
        <v>25140000000</v>
      </c>
      <c r="G33" s="51">
        <f>IFERROR(__xludf.DUMMYFUNCTION("IFERROR(
  LET(
    x, UPPER(SUBSTITUTE(TRIM(Data!F59),CHAR(160),"""")),
    base, VALUE(SUBSTITUTE(REGEXEXTRACT(x,""[0-9.,]+""),"","","""")),
    mult, IF(REGEXMATCH(x,""B""),1000000000, IF(REGEXMATCH(x,""M""),1000000, 1)),
    base * mult
  ),
  0
)"),2.932E10)</f>
        <v>29320000000</v>
      </c>
      <c r="H33" s="50">
        <f t="shared" ref="H33:L33" si="13">G33*(1+H34)</f>
        <v>32752343298</v>
      </c>
      <c r="I33" s="50">
        <f t="shared" si="13"/>
        <v>36586493571</v>
      </c>
      <c r="J33" s="50">
        <f t="shared" si="13"/>
        <v>40869488319</v>
      </c>
      <c r="K33" s="50">
        <f t="shared" si="13"/>
        <v>45653871482</v>
      </c>
      <c r="L33" s="51">
        <f t="shared" si="13"/>
        <v>50998338051</v>
      </c>
    </row>
    <row r="34">
      <c r="A34" s="27"/>
      <c r="B34" s="28" t="s">
        <v>28</v>
      </c>
      <c r="C34" s="29" t="str">
        <f>Data!B60</f>
        <v>-</v>
      </c>
      <c r="D34" s="30">
        <f>Data!C60</f>
        <v>0.243</v>
      </c>
      <c r="E34" s="30">
        <f>Data!D60</f>
        <v>-0.7072</v>
      </c>
      <c r="F34" s="30">
        <f>Data!E60</f>
        <v>2.6684</v>
      </c>
      <c r="G34" s="31">
        <f>Data!F60</f>
        <v>0.1663</v>
      </c>
      <c r="H34" s="30">
        <f>(G33/C33)^(1/4)-1</f>
        <v>0.1170649147</v>
      </c>
      <c r="I34" s="32">
        <f t="shared" ref="I34:L34" si="14">H34</f>
        <v>0.1170649147</v>
      </c>
      <c r="J34" s="32">
        <f t="shared" si="14"/>
        <v>0.1170649147</v>
      </c>
      <c r="K34" s="32">
        <f t="shared" si="14"/>
        <v>0.1170649147</v>
      </c>
      <c r="L34" s="33">
        <f t="shared" si="14"/>
        <v>0.1170649147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21"/>
      <c r="B35" s="22" t="s">
        <v>29</v>
      </c>
      <c r="C35" s="35" t="str">
        <f>Data!B61</f>
        <v>-</v>
      </c>
      <c r="D35" s="35" t="str">
        <f>Data!C61</f>
        <v>-</v>
      </c>
      <c r="E35" s="35" t="str">
        <f>Data!D61</f>
        <v>-</v>
      </c>
      <c r="F35" s="35" t="str">
        <f>Data!E61</f>
        <v>-</v>
      </c>
      <c r="G35" s="62">
        <f>Data!F61</f>
        <v>0.4517</v>
      </c>
      <c r="H35" s="35"/>
      <c r="I35" s="35"/>
      <c r="J35" s="35"/>
      <c r="K35" s="35"/>
      <c r="L35" s="36"/>
    </row>
    <row r="36" ht="3.75" customHeight="1">
      <c r="A36" s="21"/>
      <c r="B36" s="22"/>
      <c r="C36" s="35"/>
      <c r="D36" s="35"/>
      <c r="E36" s="35"/>
      <c r="F36" s="35"/>
      <c r="G36" s="36"/>
      <c r="H36" s="35"/>
      <c r="I36" s="35"/>
      <c r="J36" s="35"/>
      <c r="K36" s="35"/>
      <c r="L36" s="36"/>
    </row>
    <row r="37">
      <c r="A37" s="37"/>
      <c r="B37" s="63"/>
      <c r="C37" s="35"/>
      <c r="D37" s="35"/>
      <c r="E37" s="35"/>
      <c r="F37" s="35"/>
      <c r="G37" s="36"/>
      <c r="H37" s="35"/>
      <c r="I37" s="35"/>
      <c r="J37" s="35"/>
      <c r="K37" s="35"/>
      <c r="L37" s="36"/>
    </row>
    <row r="38">
      <c r="A38" s="21"/>
      <c r="B38" s="22" t="s">
        <v>30</v>
      </c>
      <c r="C38" s="35" t="str">
        <f>Data!B30</f>
        <v>13.88B</v>
      </c>
      <c r="D38" s="35" t="str">
        <f>Data!C30</f>
        <v>16.44B</v>
      </c>
      <c r="E38" s="35" t="str">
        <f>Data!D30</f>
        <v>1.89B</v>
      </c>
      <c r="F38" s="35" t="str">
        <f>Data!E30</f>
        <v>19.94B</v>
      </c>
      <c r="G38" s="36" t="str">
        <f>Data!F30</f>
        <v>21.07B</v>
      </c>
      <c r="H38" s="46" t="s">
        <v>19</v>
      </c>
      <c r="I38" s="46" t="s">
        <v>19</v>
      </c>
      <c r="J38" s="46" t="s">
        <v>19</v>
      </c>
      <c r="K38" s="46" t="s">
        <v>19</v>
      </c>
      <c r="L38" s="47" t="s">
        <v>19</v>
      </c>
    </row>
    <row r="39">
      <c r="A39" s="21"/>
      <c r="B39" s="22" t="s">
        <v>31</v>
      </c>
      <c r="C39" s="35" t="str">
        <f>Data!B33</f>
        <v>1.52B</v>
      </c>
      <c r="D39" s="35" t="str">
        <f>Data!C33</f>
        <v>1.92B</v>
      </c>
      <c r="E39" s="35" t="str">
        <f>Data!D33</f>
        <v>1.51B</v>
      </c>
      <c r="F39" s="35" t="str">
        <f>Data!E33</f>
        <v>2.8B</v>
      </c>
      <c r="G39" s="36" t="str">
        <f>Data!F33</f>
        <v>2.8B</v>
      </c>
      <c r="H39" s="46" t="s">
        <v>19</v>
      </c>
      <c r="I39" s="46" t="s">
        <v>19</v>
      </c>
      <c r="J39" s="46" t="s">
        <v>19</v>
      </c>
      <c r="K39" s="46" t="s">
        <v>19</v>
      </c>
      <c r="L39" s="47" t="s">
        <v>19</v>
      </c>
    </row>
    <row r="40">
      <c r="A40" s="37"/>
      <c r="B40" s="38" t="s">
        <v>32</v>
      </c>
      <c r="C40" s="50">
        <f>IFERROR(__xludf.DUMMYFUNCTION("IFERROR(
  LET(
    x, UPPER(SUBSTITUTE(TRIM(Data!B43),CHAR(160),"""")),
    base, VALUE(SUBSTITUTE(REGEXEXTRACT(x,""[0-9.,]+""),"","","""")),
    mult, IF(REGEXMATCH(x,""B""),1000000000, IF(REGEXMATCH(x,""M""),1000000, 1)),
    base * mult
  ),
  0
)"),1.235E10)</f>
        <v>12350000000</v>
      </c>
      <c r="D40" s="50">
        <f>IFERROR(__xludf.DUMMYFUNCTION("IFERROR(
  LET(
    x, UPPER(SUBSTITUTE(TRIM(Data!C43),CHAR(160),"""")),
    base, VALUE(SUBSTITUTE(REGEXEXTRACT(x,""[0-9.,]+""),"","","""")),
    mult, IF(REGEXMATCH(x,""B""),1000000000, IF(REGEXMATCH(x,""M""),1000000, 1)),
    base * mult
  ),
  0
)"),1.452E10)</f>
        <v>14520000000</v>
      </c>
      <c r="E40" s="50">
        <f>IFERROR(__xludf.DUMMYFUNCTION("IFERROR(
  LET(
    x, UPPER(SUBSTITUTE(TRIM(Data!D43),CHAR(160),"""")),
    base, VALUE(SUBSTITUTE(REGEXEXTRACT(x,""[0-9.,]+""),"","","""")),
    mult, IF(REGEXMATCH(x,""B""),1000000000, IF(REGEXMATCH(x,""M""),1000000, 1)),
    base * mult
  ),
  0
)"),3.65E8)</f>
        <v>365000000</v>
      </c>
      <c r="F40" s="50">
        <f>IFERROR(__xludf.DUMMYFUNCTION("IFERROR(
  LET(
    x, UPPER(SUBSTITUTE(TRIM(Data!E43),CHAR(160),"""")),
    base, VALUE(SUBSTITUTE(REGEXEXTRACT(x,""[0-9.,]+""),"","","""")),
    mult, IF(REGEXMATCH(x,""B""),1000000000, IF(REGEXMATCH(x,""M""),1000000, 1)),
    base * mult
  ),
  0
)"),1.7120000000000002E10)</f>
        <v>17120000000</v>
      </c>
      <c r="G40" s="51">
        <f>IFERROR(__xludf.DUMMYFUNCTION("IFERROR(
  LET(
    x, UPPER(SUBSTITUTE(TRIM(Data!F43),CHAR(160),"""")),
    base, VALUE(SUBSTITUTE(REGEXEXTRACT(x,""[0-9.,]+""),"","","""")),
    mult, IF(REGEXMATCH(x,""B""),1000000000, IF(REGEXMATCH(x,""M""),1000000, 1)),
    base * mult
  ),
  0
)"),1.825E10)</f>
        <v>18250000000</v>
      </c>
      <c r="H40" s="50">
        <f t="shared" ref="H40:L40" si="15">G40*(1+H42)</f>
        <v>13794566667</v>
      </c>
      <c r="I40" s="50">
        <f t="shared" si="15"/>
        <v>8494540880</v>
      </c>
      <c r="J40" s="50">
        <f t="shared" si="15"/>
        <v>6903387528</v>
      </c>
      <c r="K40" s="50">
        <f t="shared" si="15"/>
        <v>5610280772</v>
      </c>
      <c r="L40" s="51">
        <f t="shared" si="15"/>
        <v>4203539231</v>
      </c>
    </row>
    <row r="41">
      <c r="A41" s="21"/>
      <c r="B41" s="22" t="s">
        <v>33</v>
      </c>
      <c r="C41" s="35" t="str">
        <f>Data!B52</f>
        <v>13.05B</v>
      </c>
      <c r="D41" s="35" t="str">
        <f>Data!C52</f>
        <v>14.52B</v>
      </c>
      <c r="E41" s="35" t="str">
        <f>Data!D52</f>
        <v>365M</v>
      </c>
      <c r="F41" s="35" t="str">
        <f>Data!E52</f>
        <v>17.12B</v>
      </c>
      <c r="G41" s="36" t="str">
        <f>Data!F52</f>
        <v>18.25B</v>
      </c>
      <c r="H41" s="46" t="s">
        <v>19</v>
      </c>
      <c r="I41" s="46" t="s">
        <v>19</v>
      </c>
      <c r="J41" s="46" t="s">
        <v>19</v>
      </c>
      <c r="K41" s="46" t="s">
        <v>19</v>
      </c>
      <c r="L41" s="47" t="s">
        <v>19</v>
      </c>
    </row>
    <row r="42">
      <c r="A42" s="52"/>
      <c r="B42" s="59" t="s">
        <v>34</v>
      </c>
      <c r="C42" s="29" t="str">
        <f>Data!B44</f>
        <v>-</v>
      </c>
      <c r="D42" s="30">
        <f>Data!C44</f>
        <v>0.1761</v>
      </c>
      <c r="E42" s="30">
        <f>Data!D44</f>
        <v>-0.9749</v>
      </c>
      <c r="F42" s="30">
        <f>Data!E44</f>
        <v>45.8959</v>
      </c>
      <c r="G42" s="31">
        <f>Data!F44</f>
        <v>0.0664</v>
      </c>
      <c r="H42" s="30">
        <f>AVERAGEIF(D42:G42,"&lt;0.70")</f>
        <v>-0.2441333333</v>
      </c>
      <c r="I42" s="30">
        <f t="shared" ref="I42:L42" si="16">AVERAGEIF(E42:H42,"&lt;0.80")</f>
        <v>-0.3842111111</v>
      </c>
      <c r="J42" s="30">
        <f t="shared" si="16"/>
        <v>-0.1873148148</v>
      </c>
      <c r="K42" s="30">
        <f t="shared" si="16"/>
        <v>-0.1873148148</v>
      </c>
      <c r="L42" s="31">
        <f t="shared" si="16"/>
        <v>-0.2507435185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3.75" customHeight="1">
      <c r="B43" s="19"/>
      <c r="C43" s="35"/>
      <c r="D43" s="35"/>
      <c r="E43" s="35"/>
      <c r="F43" s="35"/>
      <c r="G43" s="36"/>
      <c r="H43" s="35"/>
      <c r="I43" s="35"/>
      <c r="J43" s="35"/>
      <c r="K43" s="35"/>
      <c r="L43" s="36"/>
    </row>
    <row r="44">
      <c r="B44" s="19"/>
      <c r="C44" s="35"/>
      <c r="D44" s="35"/>
      <c r="E44" s="35"/>
      <c r="F44" s="35"/>
      <c r="G44" s="36"/>
      <c r="H44" s="35"/>
      <c r="I44" s="35"/>
      <c r="J44" s="35"/>
      <c r="K44" s="35"/>
      <c r="L44" s="36"/>
    </row>
    <row r="45">
      <c r="A45" s="37"/>
      <c r="B45" s="63" t="s">
        <v>35</v>
      </c>
      <c r="C45" s="35">
        <f>Data!B56</f>
        <v>5.14</v>
      </c>
      <c r="D45" s="35">
        <f>Data!C56</f>
        <v>5.71</v>
      </c>
      <c r="E45" s="35">
        <f>Data!D56</f>
        <v>0.14</v>
      </c>
      <c r="F45" s="35">
        <f>Data!E56</f>
        <v>6.74</v>
      </c>
      <c r="G45" s="36">
        <f>Data!F56</f>
        <v>7.28</v>
      </c>
      <c r="H45" s="64">
        <f>Forecast(H12,$C$45:G45,$C$12:G12)</f>
        <v>6.595</v>
      </c>
      <c r="I45" s="64">
        <f t="shared" ref="I45:L45" si="17">FORECAST(I12,$C$45:H45,$C$12:H12)</f>
        <v>7.126</v>
      </c>
      <c r="J45" s="64">
        <f t="shared" si="17"/>
        <v>7.657</v>
      </c>
      <c r="K45" s="64">
        <f t="shared" si="17"/>
        <v>8.188</v>
      </c>
      <c r="L45" s="65">
        <f t="shared" si="17"/>
        <v>8.719</v>
      </c>
    </row>
    <row r="46">
      <c r="A46" s="27"/>
      <c r="B46" s="66" t="s">
        <v>36</v>
      </c>
      <c r="C46" s="67" t="str">
        <f>Data!B57</f>
        <v>-</v>
      </c>
      <c r="D46" s="68">
        <f>Data!C57</f>
        <v>0.1109</v>
      </c>
      <c r="E46" s="68">
        <f>Data!D57</f>
        <v>-0.9749</v>
      </c>
      <c r="F46" s="68">
        <f>Data!E57</f>
        <v>46.0084</v>
      </c>
      <c r="G46" s="69">
        <f>Data!F57</f>
        <v>0.0809</v>
      </c>
      <c r="H46" s="70">
        <f t="shared" ref="H46:L46" si="18">H45/G45-1</f>
        <v>-0.09409340659</v>
      </c>
      <c r="I46" s="70">
        <f t="shared" si="18"/>
        <v>0.08051554208</v>
      </c>
      <c r="J46" s="70">
        <f t="shared" si="18"/>
        <v>0.07451585742</v>
      </c>
      <c r="K46" s="70">
        <f t="shared" si="18"/>
        <v>0.06934830874</v>
      </c>
      <c r="L46" s="71">
        <f t="shared" si="18"/>
        <v>0.06485100147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71">
      <c r="F71" s="72"/>
      <c r="G71" s="72"/>
    </row>
    <row r="1006">
      <c r="D1006" s="73">
        <f>1.56*L33</f>
        <v>79557407359</v>
      </c>
    </row>
  </sheetData>
  <mergeCells count="3">
    <mergeCell ref="B11:B12"/>
    <mergeCell ref="C11:G11"/>
    <mergeCell ref="H11:L11"/>
  </mergeCells>
  <conditionalFormatting sqref="F3:F8">
    <cfRule type="cellIs" dxfId="0" priority="1" operator="greaterThan">
      <formula>0</formula>
    </cfRule>
  </conditionalFormatting>
  <conditionalFormatting sqref="F3:F8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>
      <c r="A1" s="11"/>
      <c r="B1" s="11"/>
      <c r="C1" s="74"/>
      <c r="D1" s="74"/>
      <c r="E1" s="74"/>
      <c r="F1" s="74"/>
      <c r="G1" s="74"/>
      <c r="H1" s="74"/>
      <c r="I1" s="74"/>
      <c r="J1" s="74"/>
      <c r="K1" s="74"/>
      <c r="L1" s="74"/>
    </row>
    <row r="2">
      <c r="A2" s="11"/>
      <c r="B2" s="12" t="s">
        <v>37</v>
      </c>
      <c r="C2" s="13" t="s">
        <v>11</v>
      </c>
      <c r="D2" s="14"/>
      <c r="E2" s="14"/>
      <c r="F2" s="14"/>
      <c r="G2" s="15"/>
      <c r="H2" s="13" t="s">
        <v>12</v>
      </c>
      <c r="I2" s="14"/>
      <c r="J2" s="14"/>
      <c r="K2" s="14"/>
      <c r="L2" s="15"/>
    </row>
    <row r="3">
      <c r="A3" s="11"/>
      <c r="B3" s="16"/>
      <c r="C3" s="17">
        <v>2020.0</v>
      </c>
      <c r="D3" s="17">
        <v>2021.0</v>
      </c>
      <c r="E3" s="17">
        <v>2022.0</v>
      </c>
      <c r="F3" s="17">
        <v>2023.0</v>
      </c>
      <c r="G3" s="18">
        <v>2024.0</v>
      </c>
      <c r="H3" s="17">
        <v>2025.0</v>
      </c>
      <c r="I3" s="17">
        <v>2026.0</v>
      </c>
      <c r="J3" s="17">
        <v>2027.0</v>
      </c>
      <c r="K3" s="17">
        <v>2028.0</v>
      </c>
      <c r="L3" s="18">
        <v>2029.0</v>
      </c>
    </row>
    <row r="4" ht="3.75" customHeight="1">
      <c r="B4" s="19"/>
      <c r="G4" s="20"/>
      <c r="L4" s="20"/>
    </row>
    <row r="5">
      <c r="B5" s="19"/>
      <c r="G5" s="20"/>
      <c r="L5" s="20"/>
    </row>
    <row r="6">
      <c r="B6" s="22" t="s">
        <v>38</v>
      </c>
      <c r="C6" s="25">
        <f>IFERROR(__xludf.DUMMYFUNCTION("IFERROR(
  LET(
    x, UPPER(SUBSTITUTE(TRIM(Data!B71),CHAR(160),"""")),
    base, VALUE(SUBSTITUTE(REGEXEXTRACT(x,""[0-9.,]+""),"","","""")),
    mult, IF(REGEXMATCH(x,""B""),1000000000, IF(REGEXMATCH(x,""M""),1000000, 1)),
    base * mult
  ),
  0
)"),8.1E9)</f>
        <v>8100000000</v>
      </c>
      <c r="D6" s="25">
        <f>IFERROR(__xludf.DUMMYFUNCTION("IFERROR(
  LET(
    x, UPPER(SUBSTITUTE(TRIM(Data!C71),CHAR(160),"""")),
    base, VALUE(SUBSTITUTE(REGEXEXTRACT(x,""[0-9.,]+""),"","","""")),
    mult, IF(REGEXMATCH(x,""B""),1000000000, IF(REGEXMATCH(x,""M""),1000000, 1)),
    base * mult
  ),
  0
)"),1.277E10)</f>
        <v>12770000000</v>
      </c>
      <c r="E6" s="25">
        <f>IFERROR(__xludf.DUMMYFUNCTION("IFERROR(
  LET(
    x, UPPER(SUBSTITUTE(TRIM(Data!D71),CHAR(160),"""")),
    base, VALUE(SUBSTITUTE(REGEXEXTRACT(x,""[0-9.,]+""),"","","""")),
    mult, IF(REGEXMATCH(x,""B""),1000000000, IF(REGEXMATCH(x,""M""),1000000, 1)),
    base * mult
  ),
  0
)"),6.91E9)</f>
        <v>6910000000</v>
      </c>
      <c r="F6" s="25">
        <f>IFERROR(__xludf.DUMMYFUNCTION("IFERROR(
  LET(
    x, UPPER(SUBSTITUTE(TRIM(Data!E71),CHAR(160),"""")),
    base, VALUE(SUBSTITUTE(REGEXEXTRACT(x,""[0-9.,]+""),"","","""")),
    mult, IF(REGEXMATCH(x,""B""),1000000000, IF(REGEXMATCH(x,""M""),1000000, 1)),
    base * mult
  ),
  0
)"),1.332E10)</f>
        <v>13320000000</v>
      </c>
      <c r="G6" s="26">
        <f>IFERROR(__xludf.DUMMYFUNCTION("IFERROR(
  LET(
    x, UPPER(SUBSTITUTE(TRIM(Data!F71),CHAR(160),"""")),
    base, VALUE(SUBSTITUTE(REGEXEXTRACT(x,""[0-9.,]+""),"","","""")),
    mult, IF(REGEXMATCH(x,""B""),1000000000, IF(REGEXMATCH(x,""M""),1000000, 1)),
    base * mult
  ),
  0
)"),1.469E10)</f>
        <v>14690000000</v>
      </c>
      <c r="H6" s="25">
        <f t="shared" ref="H6:L6" si="1">FORECAST(H3,$C$6:G6,$C$3:G3)</f>
        <v>15277000000</v>
      </c>
      <c r="I6" s="25">
        <f t="shared" si="1"/>
        <v>16650000000</v>
      </c>
      <c r="J6" s="25">
        <f t="shared" si="1"/>
        <v>18023000000</v>
      </c>
      <c r="K6" s="25">
        <f t="shared" si="1"/>
        <v>19396000000</v>
      </c>
      <c r="L6" s="26">
        <f t="shared" si="1"/>
        <v>20769000000</v>
      </c>
    </row>
    <row r="7">
      <c r="B7" s="22" t="s">
        <v>39</v>
      </c>
      <c r="C7" s="35" t="str">
        <f>Data!B72:F72</f>
        <v>-</v>
      </c>
      <c r="D7" s="35" t="str">
        <f>Data!C72</f>
        <v>-</v>
      </c>
      <c r="E7" s="35" t="str">
        <f>Data!D72</f>
        <v>-</v>
      </c>
      <c r="F7" s="35" t="str">
        <f>Data!E72</f>
        <v>-</v>
      </c>
      <c r="G7" s="36" t="str">
        <f>Data!F72</f>
        <v>-</v>
      </c>
      <c r="H7" s="46" t="s">
        <v>19</v>
      </c>
      <c r="I7" s="46" t="s">
        <v>19</v>
      </c>
      <c r="J7" s="46" t="s">
        <v>19</v>
      </c>
      <c r="K7" s="46" t="s">
        <v>19</v>
      </c>
      <c r="L7" s="47" t="s">
        <v>19</v>
      </c>
    </row>
    <row r="8">
      <c r="B8" s="38" t="s">
        <v>40</v>
      </c>
      <c r="C8" s="39">
        <f>IFERROR(__xludf.DUMMYFUNCTION("IFERROR(
  LET(
    x, UPPER(SUBSTITUTE(TRIM(Data!B69),CHAR(160),"""")),
    base, VALUE(SUBSTITUTE(REGEXEXTRACT(x,""[0-9.,]+""),"","","""")),
    mult, IF(REGEXMATCH(x,""B""),1000000000, IF(REGEXMATCH(x,""M""),1000000, 1)),
    base * mult
  ),
  0
)"),8.1E9)</f>
        <v>8100000000</v>
      </c>
      <c r="D8" s="39">
        <f>IFERROR(__xludf.DUMMYFUNCTION("IFERROR(
  LET(
    x, UPPER(SUBSTITUTE(TRIM(Data!C69),CHAR(160),"""")),
    base, VALUE(SUBSTITUTE(REGEXEXTRACT(x,""[0-9.,]+""),"","","""")),
    mult, IF(REGEXMATCH(x,""B""),1000000000, IF(REGEXMATCH(x,""M""),1000000, 1)),
    base * mult
  ),
  0
)"),1.327E10)</f>
        <v>13270000000</v>
      </c>
      <c r="E8" s="39">
        <f>IFERROR(__xludf.DUMMYFUNCTION("IFERROR(
  LET(
    x, UPPER(SUBSTITUTE(TRIM(Data!D69),CHAR(160),"""")),
    base, VALUE(SUBSTITUTE(REGEXEXTRACT(x,""[0-9.,]+""),"","","""")),
    mult, IF(REGEXMATCH(x,""B""),1000000000, IF(REGEXMATCH(x,""M""),1000000, 1)),
    base * mult
  ),
  0
)"),7.16E9)</f>
        <v>7160000000</v>
      </c>
      <c r="F8" s="39">
        <f>IFERROR(__xludf.DUMMYFUNCTION("IFERROR(
  LET(
    x, UPPER(SUBSTITUTE(TRIM(Data!E69),CHAR(160),"""")),
    base, VALUE(SUBSTITUTE(REGEXEXTRACT(x,""[0-9.,]+""),"","","""")),
    mult, IF(REGEXMATCH(x,""B""),1000000000, IF(REGEXMATCH(x,""M""),1000000, 1)),
    base * mult
  ),
  0
)"),1.377E10)</f>
        <v>13770000000</v>
      </c>
      <c r="G8" s="40">
        <f>IFERROR(__xludf.DUMMYFUNCTION("IFERROR(
  LET(
    x, UPPER(SUBSTITUTE(TRIM(Data!F69),CHAR(160),"""")),
    base, VALUE(SUBSTITUTE(REGEXEXTRACT(x,""[0-9.,]+""),"","","""")),
    mult, IF(REGEXMATCH(x,""B""),1000000000, IF(REGEXMATCH(x,""M""),1000000, 1)),
    base * mult
  ),
  0
)"),1.469E10)</f>
        <v>14690000000</v>
      </c>
      <c r="H8" s="50">
        <f t="shared" ref="H8:L8" si="2">H6</f>
        <v>15277000000</v>
      </c>
      <c r="I8" s="50">
        <f t="shared" si="2"/>
        <v>16650000000</v>
      </c>
      <c r="J8" s="50">
        <f t="shared" si="2"/>
        <v>18023000000</v>
      </c>
      <c r="K8" s="50">
        <f t="shared" si="2"/>
        <v>19396000000</v>
      </c>
      <c r="L8" s="51">
        <f t="shared" si="2"/>
        <v>20769000000</v>
      </c>
    </row>
    <row r="9">
      <c r="A9" s="34"/>
      <c r="B9" s="28" t="s">
        <v>41</v>
      </c>
      <c r="C9" s="29" t="str">
        <f>Data!B70</f>
        <v>-</v>
      </c>
      <c r="D9" s="30">
        <f>Data!C70</f>
        <v>0.6392</v>
      </c>
      <c r="E9" s="30">
        <f>Data!D70</f>
        <v>-0.4604</v>
      </c>
      <c r="F9" s="30">
        <f>Data!E70</f>
        <v>0.9222</v>
      </c>
      <c r="G9" s="31">
        <f>Data!F70</f>
        <v>0.0672</v>
      </c>
      <c r="H9" s="30">
        <f t="shared" ref="H9:L9" si="3">H8/G8-1</f>
        <v>0.03995915589</v>
      </c>
      <c r="I9" s="30">
        <f t="shared" si="3"/>
        <v>0.0898736663</v>
      </c>
      <c r="J9" s="30">
        <f t="shared" si="3"/>
        <v>0.08246246246</v>
      </c>
      <c r="K9" s="30">
        <f t="shared" si="3"/>
        <v>0.07618043611</v>
      </c>
      <c r="L9" s="31">
        <f t="shared" si="3"/>
        <v>0.0707877913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3.75" customHeight="1">
      <c r="B10" s="19"/>
      <c r="C10" s="35"/>
      <c r="D10" s="35"/>
      <c r="E10" s="35"/>
      <c r="F10" s="35"/>
      <c r="G10" s="36"/>
      <c r="H10" s="35"/>
      <c r="I10" s="35"/>
      <c r="J10" s="35"/>
      <c r="K10" s="35"/>
      <c r="L10" s="36"/>
    </row>
    <row r="11">
      <c r="B11" s="19"/>
      <c r="C11" s="35"/>
      <c r="D11" s="35"/>
      <c r="E11" s="35"/>
      <c r="F11" s="35"/>
      <c r="G11" s="36"/>
      <c r="H11" s="35"/>
      <c r="I11" s="35"/>
      <c r="J11" s="35"/>
      <c r="K11" s="35"/>
      <c r="L11" s="36"/>
    </row>
    <row r="12">
      <c r="B12" s="22" t="s">
        <v>42</v>
      </c>
      <c r="C12" s="25">
        <f>IFERROR(__xludf.DUMMYFUNCTION("IFERROR(
  LET(
    x, UPPER(SUBSTITUTE(TRIM(Data!B82),CHAR(160),"""")),
    base, VALUE(SUBSTITUTE(REGEXEXTRACT(x,""[0-9.,]+""),"","","""")),
    mult, IF(REGEXMATCH(x,""B""),1000000000, IF(REGEXMATCH(x,""M""),1000000, 1)),
    base * mult
  ),
  0
)"),1.75E9)</f>
        <v>1750000000</v>
      </c>
      <c r="D12" s="25">
        <f>IFERROR(__xludf.DUMMYFUNCTION("IFERROR(
  LET(
    x, UPPER(SUBSTITUTE(TRIM(Data!C82),CHAR(160),"""")),
    base, VALUE(SUBSTITUTE(REGEXEXTRACT(x,""[0-9.,]+""),"","","""")),
    mult, IF(REGEXMATCH(x,""B""),1000000000, IF(REGEXMATCH(x,""M""),1000000, 1)),
    base * mult
  ),
  0
)"),1.84E9)</f>
        <v>1840000000</v>
      </c>
      <c r="E12" s="25">
        <f>IFERROR(__xludf.DUMMYFUNCTION("IFERROR(
  LET(
    x, UPPER(SUBSTITUTE(TRIM(Data!D82),CHAR(160),"""")),
    base, VALUE(SUBSTITUTE(REGEXEXTRACT(x,""[0-9.,]+""),"","","""")),
    mult, IF(REGEXMATCH(x,""B""),1000000000, IF(REGEXMATCH(x,""M""),1000000, 1)),
    base * mult
  ),
  0
)"),1.95E9)</f>
        <v>1950000000</v>
      </c>
      <c r="F12" s="25">
        <f>IFERROR(__xludf.DUMMYFUNCTION("IFERROR(
  LET(
    x, UPPER(SUBSTITUTE(TRIM(Data!E82),CHAR(160),"""")),
    base, VALUE(SUBSTITUTE(REGEXEXTRACT(x,""[0-9.,]+""),"","","""")),
    mult, IF(REGEXMATCH(x,""B""),1000000000, IF(REGEXMATCH(x,""M""),1000000, 1)),
    base * mult
  ),
  0
)"),2.02E9)</f>
        <v>2020000000</v>
      </c>
      <c r="G12" s="26">
        <f>IFERROR(__xludf.DUMMYFUNCTION("IFERROR(
  LET(
    x, UPPER(SUBSTITUTE(TRIM(Data!F82),CHAR(160),"""")),
    base, VALUE(SUBSTITUTE(REGEXEXTRACT(x,""[0-9.,]+""),"","","""")),
    mult, IF(REGEXMATCH(x,""B""),1000000000, IF(REGEXMATCH(x,""M""),1000000, 1)),
    base * mult
  ),
  0
)"),2.28E9)</f>
        <v>2280000000</v>
      </c>
      <c r="H12" s="25">
        <f t="shared" ref="H12:L12" si="4">AVERAGE(C12:G12)</f>
        <v>1968000000</v>
      </c>
      <c r="I12" s="25">
        <f t="shared" si="4"/>
        <v>2011600000</v>
      </c>
      <c r="J12" s="25">
        <f t="shared" si="4"/>
        <v>2045920000</v>
      </c>
      <c r="K12" s="25">
        <f t="shared" si="4"/>
        <v>2065104000</v>
      </c>
      <c r="L12" s="26">
        <f t="shared" si="4"/>
        <v>2074124800</v>
      </c>
    </row>
    <row r="13">
      <c r="B13" s="22" t="s">
        <v>43</v>
      </c>
      <c r="C13" s="25" t="str">
        <f>IFERROR(__xludf.DUMMYFUNCTION("regexreplace(Data!B83,""M"","""")*1000000"),"#VALUE!")</f>
        <v>#VALUE!</v>
      </c>
      <c r="D13" s="25">
        <f>IFERROR(__xludf.DUMMYFUNCTION("IFERROR(
  LET(
    x, UPPER(SUBSTITUTE(TRIM(Data!C83),CHAR(160),"""")),
    base, VALUE(SUBSTITUTE(REGEXEXTRACT(x,""[0-9.,]+""),"","","""")),
    mult, IF(REGEXMATCH(x,""B""),1000000000, IF(REGEXMATCH(x,""M""),1000000, 1)),
    base * mult
  ),
  0
)"),0.0)</f>
        <v>0</v>
      </c>
      <c r="E13" s="25">
        <f>IFERROR(__xludf.DUMMYFUNCTION("IFERROR(
  LET(
    x, UPPER(SUBSTITUTE(TRIM(Data!D83),CHAR(160),"""")),
    base, VALUE(SUBSTITUTE(REGEXEXTRACT(x,""[0-9.,]+""),"","","""")),
    mult, IF(REGEXMATCH(x,""B""),1000000000, IF(REGEXMATCH(x,""M""),1000000, 1)),
    base * mult
  ),
  0
)"),0.0)</f>
        <v>0</v>
      </c>
      <c r="F13" s="25">
        <f>IFERROR(__xludf.DUMMYFUNCTION("IFERROR(
  LET(
    x, UPPER(SUBSTITUTE(TRIM(Data!E83),CHAR(160),"""")),
    base, VALUE(SUBSTITUTE(REGEXEXTRACT(x,""[0-9.,]+""),"","","""")),
    mult, IF(REGEXMATCH(x,""B""),1000000000, IF(REGEXMATCH(x,""M""),1000000, 1)),
    base * mult
  ),
  0
)"),0.0)</f>
        <v>0</v>
      </c>
      <c r="G13" s="26">
        <f>IFERROR(__xludf.DUMMYFUNCTION("IFERROR(
  LET(
    x, UPPER(SUBSTITUTE(TRIM(Data!F83),CHAR(160),"""")),
    base, VALUE(SUBSTITUTE(REGEXEXTRACT(x,""[0-9.,]+""),"","","""")),
    mult, IF(REGEXMATCH(x,""B""),1000000000, IF(REGEXMATCH(x,""M""),1000000, 1)),
    base * mult
  ),
  0
)"),0.0)</f>
        <v>0</v>
      </c>
      <c r="H13" s="35" t="str">
        <f t="shared" ref="H13:L13" si="5">AVERAGE(C13:G13)</f>
        <v>#VALUE!</v>
      </c>
      <c r="I13" s="35" t="str">
        <f t="shared" si="5"/>
        <v>#VALUE!</v>
      </c>
      <c r="J13" s="35" t="str">
        <f t="shared" si="5"/>
        <v>#VALUE!</v>
      </c>
      <c r="K13" s="35" t="str">
        <f t="shared" si="5"/>
        <v>#VALUE!</v>
      </c>
      <c r="L13" s="36" t="str">
        <f t="shared" si="5"/>
        <v>#VALUE!</v>
      </c>
    </row>
    <row r="14">
      <c r="B14" s="22" t="s">
        <v>44</v>
      </c>
      <c r="C14" s="25">
        <f>IFERROR(__xludf.DUMMYFUNCTION("IFERROR(
  LET(
    x, UPPER(SUBSTITUTE(TRIM(Data!B84),CHAR(160),"""")),
    base, VALUE(SUBSTITUTE(REGEXEXTRACT(x,""[0-9.,]+""),"","","""")),
    mult, IF(REGEXMATCH(x,""B""),1000000000, IF(REGEXMATCH(x,""M""),1000000, 1)),
    base * mult
  ),
  0
)"),4.2199999999999995E9)</f>
        <v>4220000000</v>
      </c>
      <c r="D14" s="25">
        <f>IFERROR(__xludf.DUMMYFUNCTION("IFERROR(
  LET(
    x, UPPER(SUBSTITUTE(TRIM(Data!C84),CHAR(160),"""")),
    base, VALUE(SUBSTITUTE(REGEXEXTRACT(x,""[0-9.,]+""),"","","""")),
    mult, IF(REGEXMATCH(x,""B""),1000000000, IF(REGEXMATCH(x,""M""),1000000, 1)),
    base * mult
  ),
  0
)"),4.36E9)</f>
        <v>4360000000</v>
      </c>
      <c r="E14" s="25">
        <f>IFERROR(__xludf.DUMMYFUNCTION("IFERROR(
  LET(
    x, UPPER(SUBSTITUTE(TRIM(Data!D84),CHAR(160),"""")),
    base, VALUE(SUBSTITUTE(REGEXEXTRACT(x,""[0-9.,]+""),"","","""")),
    mult, IF(REGEXMATCH(x,""B""),1000000000, IF(REGEXMATCH(x,""M""),1000000, 1)),
    base * mult
  ),
  0
)"),4.97E9)</f>
        <v>4970000000</v>
      </c>
      <c r="F14" s="25">
        <f>IFERROR(__xludf.DUMMYFUNCTION("IFERROR(
  LET(
    x, UPPER(SUBSTITUTE(TRIM(Data!E84),CHAR(160),"""")),
    base, VALUE(SUBSTITUTE(REGEXEXTRACT(x,""[0-9.,]+""),"","","""")),
    mult, IF(REGEXMATCH(x,""B""),1000000000, IF(REGEXMATCH(x,""M""),1000000, 1)),
    base * mult
  ),
  0
)"),4.93E9)</f>
        <v>4930000000</v>
      </c>
      <c r="G14" s="26">
        <f>IFERROR(__xludf.DUMMYFUNCTION("IFERROR(
  LET(
    x, UPPER(SUBSTITUTE(TRIM(Data!F84),CHAR(160),"""")),
    base, VALUE(SUBSTITUTE(REGEXEXTRACT(x,""[0-9.,]+""),"","","""")),
    mult, IF(REGEXMATCH(x,""B""),1000000000, IF(REGEXMATCH(x,""M""),1000000, 1)),
    base * mult
  ),
  0
)"),5.3E9)</f>
        <v>5300000000</v>
      </c>
      <c r="H14" s="25">
        <f t="shared" ref="H14:L14" si="6">AVERAGE(C14:G14)</f>
        <v>4756000000</v>
      </c>
      <c r="I14" s="25">
        <f t="shared" si="6"/>
        <v>4863200000</v>
      </c>
      <c r="J14" s="25">
        <f t="shared" si="6"/>
        <v>4963840000</v>
      </c>
      <c r="K14" s="25">
        <f t="shared" si="6"/>
        <v>4962608000</v>
      </c>
      <c r="L14" s="26">
        <f t="shared" si="6"/>
        <v>4969129600</v>
      </c>
    </row>
    <row r="15">
      <c r="B15" s="38" t="s">
        <v>45</v>
      </c>
      <c r="C15" s="50">
        <f>IFERROR(__xludf.DUMMYFUNCTION("IFERROR(
  LET(
    x, UPPER(SUBSTITUTE(TRIM(Data!B81),CHAR(160),"""")),
    base, VALUE(SUBSTITUTE(REGEXEXTRACT(x,""[0-9.,]+""),"","","""")),
    mult, IF(REGEXMATCH(x,""B""),1000000000, IF(REGEXMATCH(x,""M""),1000000, 1)),
    base * mult
  ),
  0
)"),5.95E9)</f>
        <v>5950000000</v>
      </c>
      <c r="D15" s="50">
        <f>IFERROR(__xludf.DUMMYFUNCTION("IFERROR(
  LET(
    x, UPPER(SUBSTITUTE(TRIM(Data!C81),CHAR(160),"""")),
    base, VALUE(SUBSTITUTE(REGEXEXTRACT(x,""[0-9.,]+""),"","","""")),
    mult, IF(REGEXMATCH(x,""B""),1000000000, IF(REGEXMATCH(x,""M""),1000000, 1)),
    base * mult
  ),
  0
)"),5.91E9)</f>
        <v>5910000000</v>
      </c>
      <c r="E15" s="50">
        <f>IFERROR(__xludf.DUMMYFUNCTION("IFERROR(
  LET(
    x, UPPER(SUBSTITUTE(TRIM(Data!D81),CHAR(160),"""")),
    base, VALUE(SUBSTITUTE(REGEXEXTRACT(x,""[0-9.,]+""),"","","""")),
    mult, IF(REGEXMATCH(x,""B""),1000000000, IF(REGEXMATCH(x,""M""),1000000, 1)),
    base * mult
  ),
  0
)"),6.36E9)</f>
        <v>6360000000</v>
      </c>
      <c r="F15" s="50">
        <f>IFERROR(__xludf.DUMMYFUNCTION("IFERROR(
  LET(
    x, UPPER(SUBSTITUTE(TRIM(Data!E81),CHAR(160),"""")),
    base, VALUE(SUBSTITUTE(REGEXEXTRACT(x,""[0-9.,]+""),"","","""")),
    mult, IF(REGEXMATCH(x,""B""),1000000000, IF(REGEXMATCH(x,""M""),1000000, 1)),
    base * mult
  ),
  0
)"),6.11E9)</f>
        <v>6110000000</v>
      </c>
      <c r="G15" s="51">
        <f>IFERROR(__xludf.DUMMYFUNCTION("IFERROR(
  LET(
    x, UPPER(SUBSTITUTE(TRIM(Data!F81),CHAR(160),"""")),
    base, VALUE(SUBSTITUTE(REGEXEXTRACT(x,""[0-9.,]+""),"","","""")),
    mult, IF(REGEXMATCH(x,""B""),1000000000, IF(REGEXMATCH(x,""M""),1000000, 1)),
    base * mult
  ),
  0
)"),6.66E9)</f>
        <v>6660000000</v>
      </c>
      <c r="H15" s="50">
        <f t="shared" ref="H15:L15" si="7">AVERAGE(C15:G15)</f>
        <v>6198000000</v>
      </c>
      <c r="I15" s="50">
        <f t="shared" si="7"/>
        <v>6247600000</v>
      </c>
      <c r="J15" s="50">
        <f t="shared" si="7"/>
        <v>6315120000</v>
      </c>
      <c r="K15" s="50">
        <f t="shared" si="7"/>
        <v>6306144000</v>
      </c>
      <c r="L15" s="51">
        <f t="shared" si="7"/>
        <v>6345372800</v>
      </c>
    </row>
    <row r="16" ht="3.75" customHeight="1">
      <c r="B16" s="19"/>
      <c r="C16" s="35"/>
      <c r="D16" s="35"/>
      <c r="E16" s="35"/>
      <c r="F16" s="35"/>
      <c r="G16" s="36"/>
      <c r="H16" s="35"/>
      <c r="I16" s="35"/>
      <c r="J16" s="35"/>
      <c r="K16" s="35"/>
      <c r="L16" s="36"/>
    </row>
    <row r="17">
      <c r="B17" s="19"/>
      <c r="C17" s="35"/>
      <c r="D17" s="35"/>
      <c r="E17" s="35"/>
      <c r="F17" s="35"/>
      <c r="G17" s="36"/>
      <c r="H17" s="35"/>
      <c r="I17" s="35"/>
      <c r="J17" s="35"/>
      <c r="K17" s="35"/>
      <c r="L17" s="36"/>
    </row>
    <row r="18">
      <c r="B18" s="22" t="s">
        <v>46</v>
      </c>
      <c r="C18" s="25">
        <f>IFERROR(__xludf.DUMMYFUNCTION("IFERROR(
  LET(
    x, UPPER(SUBSTITUTE(TRIM(Data!B76),CHAR(160),"""")),
    base, VALUE(SUBSTITUTE(REGEXEXTRACT(x,""[0-9.,]+""),"","","""")),
    mult, IF(REGEXMATCH(x,""B""),1000000000, IF(REGEXMATCH(x,""M""),1000000, 1)),
    base * mult
  ),
  0
)"),9.23E9)</f>
        <v>9230000000</v>
      </c>
      <c r="D18" s="25">
        <f>IFERROR(__xludf.DUMMYFUNCTION("IFERROR(
  LET(
    x, UPPER(SUBSTITUTE(TRIM(Data!C76),CHAR(160),"""")),
    base, VALUE(SUBSTITUTE(REGEXEXTRACT(x,""[0-9.,]+""),"","","""")),
    mult, IF(REGEXMATCH(x,""B""),1000000000, IF(REGEXMATCH(x,""M""),1000000, 1)),
    base * mult
  ),
  0
)"),9.45E9)</f>
        <v>9450000000</v>
      </c>
      <c r="E18" s="25">
        <f>IFERROR(__xludf.DUMMYFUNCTION("IFERROR(
  LET(
    x, UPPER(SUBSTITUTE(TRIM(Data!D76),CHAR(160),"""")),
    base, VALUE(SUBSTITUTE(REGEXEXTRACT(x,""[0-9.,]+""),"","","""")),
    mult, IF(REGEXMATCH(x,""B""),1000000000, IF(REGEXMATCH(x,""M""),1000000, 1)),
    base * mult
  ),
  0
)"),1.035E10)</f>
        <v>10350000000</v>
      </c>
      <c r="F18" s="25">
        <f>IFERROR(__xludf.DUMMYFUNCTION("IFERROR(
  LET(
    x, UPPER(SUBSTITUTE(TRIM(Data!E76),CHAR(160),"""")),
    base, VALUE(SUBSTITUTE(REGEXEXTRACT(x,""[0-9.,]+""),"","","""")),
    mult, IF(REGEXMATCH(x,""B""),1000000000, IF(REGEXMATCH(x,""M""),1000000, 1)),
    base * mult
  ),
  0
)"),1.028E10)</f>
        <v>10280000000</v>
      </c>
      <c r="G18" s="26">
        <f>IFERROR(__xludf.DUMMYFUNCTION("IFERROR(
  LET(
    x, UPPER(SUBSTITUTE(TRIM(Data!F76),CHAR(160),"""")),
    base, VALUE(SUBSTITUTE(REGEXEXTRACT(x,""[0-9.,]+""),"","","""")),
    mult, IF(REGEXMATCH(x,""B""),1000000000, IF(REGEXMATCH(x,""M""),1000000, 1)),
    base * mult
  ),
  0
)"),1.178E10)</f>
        <v>11780000000</v>
      </c>
      <c r="H18" s="25">
        <f t="shared" ref="H18:L18" si="8">FORECAST(H3,$C$18:G18,$C$3:G3)</f>
        <v>11997000000</v>
      </c>
      <c r="I18" s="25">
        <f t="shared" si="8"/>
        <v>12590000000</v>
      </c>
      <c r="J18" s="25">
        <f t="shared" si="8"/>
        <v>13183000000</v>
      </c>
      <c r="K18" s="25">
        <f t="shared" si="8"/>
        <v>13776000000</v>
      </c>
      <c r="L18" s="26">
        <f t="shared" si="8"/>
        <v>14369000000</v>
      </c>
    </row>
    <row r="19">
      <c r="B19" s="22" t="s">
        <v>47</v>
      </c>
      <c r="C19" s="35" t="str">
        <f>Data!B79</f>
        <v>585M</v>
      </c>
      <c r="D19" s="35" t="str">
        <f>Data!C79</f>
        <v>660M</v>
      </c>
      <c r="E19" s="35" t="str">
        <f>Data!D79</f>
        <v>723M</v>
      </c>
      <c r="F19" s="35" t="str">
        <f>Data!E79</f>
        <v>849M</v>
      </c>
      <c r="G19" s="36" t="str">
        <f>Data!F79</f>
        <v>904M</v>
      </c>
      <c r="H19" s="46" t="s">
        <v>19</v>
      </c>
      <c r="I19" s="46" t="s">
        <v>19</v>
      </c>
      <c r="J19" s="46" t="s">
        <v>19</v>
      </c>
      <c r="K19" s="46" t="s">
        <v>19</v>
      </c>
      <c r="L19" s="47" t="s">
        <v>19</v>
      </c>
    </row>
    <row r="20">
      <c r="B20" s="38" t="s">
        <v>48</v>
      </c>
      <c r="C20" s="50">
        <f>IFERROR(__xludf.DUMMYFUNCTION("IFERROR(
  LET(
    x, UPPER(SUBSTITUTE(TRIM(Data!B74),CHAR(160),"""")),
    base, VALUE(SUBSTITUTE(REGEXEXTRACT(x,""[0-9.,]+""),"","","""")),
    mult, IF(REGEXMATCH(x,""B""),1000000000, IF(REGEXMATCH(x,""M""),1000000, 1)),
    base * mult
  ),
  0
)"),9.82E9)</f>
        <v>9820000000</v>
      </c>
      <c r="D20" s="50">
        <f>IFERROR(__xludf.DUMMYFUNCTION("IFERROR(
  LET(
    x, UPPER(SUBSTITUTE(TRIM(Data!C74),CHAR(160),"""")),
    base, VALUE(SUBSTITUTE(REGEXEXTRACT(x,""[0-9.,]+""),"","","""")),
    mult, IF(REGEXMATCH(x,""B""),1000000000, IF(REGEXMATCH(x,""M""),1000000, 1)),
    base * mult
  ),
  0
)"),1.011E10)</f>
        <v>10110000000</v>
      </c>
      <c r="E20" s="50">
        <f>IFERROR(__xludf.DUMMYFUNCTION("IFERROR(
  LET(
    x, UPPER(SUBSTITUTE(TRIM(Data!D74),CHAR(160),"""")),
    base, VALUE(SUBSTITUTE(REGEXEXTRACT(x,""[0-9.,]+""),"","","""")),
    mult, IF(REGEXMATCH(x,""B""),1000000000, IF(REGEXMATCH(x,""M""),1000000, 1)),
    base * mult
  ),
  0
)"),1.107E10)</f>
        <v>11070000000</v>
      </c>
      <c r="F20" s="50">
        <f>IFERROR(__xludf.DUMMYFUNCTION("IFERROR(
  LET(
    x, UPPER(SUBSTITUTE(TRIM(Data!E74),CHAR(160),"""")),
    base, VALUE(SUBSTITUTE(REGEXEXTRACT(x,""[0-9.,]+""),"","","""")),
    mult, IF(REGEXMATCH(x,""B""),1000000000, IF(REGEXMATCH(x,""M""),1000000, 1)),
    base * mult
  ),
  0
)"),1.113E10)</f>
        <v>11130000000</v>
      </c>
      <c r="G20" s="50">
        <f>IFERROR(__xludf.DUMMYFUNCTION("IFERROR(
  LET(
    x, UPPER(SUBSTITUTE(TRIM(Data!F74),CHAR(160),"""")),
    base, VALUE(SUBSTITUTE(REGEXEXTRACT(x,""[0-9.,]+""),"","","""")),
    mult, IF(REGEXMATCH(x,""B""),1000000000, IF(REGEXMATCH(x,""M""),1000000, 1)),
    base * mult
  ),
  0
)"),1.268E10)</f>
        <v>12680000000</v>
      </c>
      <c r="H20" s="75">
        <f t="shared" ref="H20:L20" si="9">FORECAST(H3,$C$20:G20,$C$3:G3)</f>
        <v>12984000000</v>
      </c>
      <c r="I20" s="50">
        <f t="shared" si="9"/>
        <v>13658000000</v>
      </c>
      <c r="J20" s="50">
        <f t="shared" si="9"/>
        <v>14332000000</v>
      </c>
      <c r="K20" s="50">
        <f t="shared" si="9"/>
        <v>15006000000</v>
      </c>
      <c r="L20" s="51">
        <f t="shared" si="9"/>
        <v>15680000000</v>
      </c>
    </row>
    <row r="21">
      <c r="A21" s="34"/>
      <c r="B21" s="28" t="s">
        <v>49</v>
      </c>
      <c r="C21" s="29" t="str">
        <f>Data!B75</f>
        <v>-</v>
      </c>
      <c r="D21" s="30">
        <f>Data!C75</f>
        <v>0.0301</v>
      </c>
      <c r="E21" s="30">
        <f>Data!D75</f>
        <v>0.0952</v>
      </c>
      <c r="F21" s="30">
        <f>Data!E75</f>
        <v>0.005</v>
      </c>
      <c r="G21" s="31">
        <f>Data!F75</f>
        <v>0.1395</v>
      </c>
      <c r="H21" s="30">
        <f t="shared" ref="H21:L21" si="10">H20/G20-1</f>
        <v>0.02397476341</v>
      </c>
      <c r="I21" s="30">
        <f t="shared" si="10"/>
        <v>0.05191004313</v>
      </c>
      <c r="J21" s="30">
        <f t="shared" si="10"/>
        <v>0.04934836726</v>
      </c>
      <c r="K21" s="30">
        <f t="shared" si="10"/>
        <v>0.04702763048</v>
      </c>
      <c r="L21" s="31">
        <f t="shared" si="10"/>
        <v>0.04491536719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3.75" customHeight="1">
      <c r="B22" s="19"/>
      <c r="C22" s="35"/>
      <c r="D22" s="35"/>
      <c r="E22" s="35"/>
      <c r="F22" s="35"/>
      <c r="G22" s="36"/>
      <c r="H22" s="35"/>
      <c r="I22" s="35"/>
      <c r="J22" s="35"/>
      <c r="K22" s="35"/>
      <c r="L22" s="36"/>
    </row>
    <row r="23">
      <c r="B23" s="19"/>
      <c r="C23" s="35"/>
      <c r="D23" s="35"/>
      <c r="E23" s="35"/>
      <c r="F23" s="35"/>
      <c r="G23" s="36"/>
      <c r="H23" s="35"/>
      <c r="I23" s="35"/>
      <c r="J23" s="35"/>
      <c r="K23" s="35"/>
      <c r="L23" s="36"/>
    </row>
    <row r="24">
      <c r="B24" s="22" t="s">
        <v>50</v>
      </c>
      <c r="C24" s="76">
        <f>IFERROR(__xludf.DUMMYFUNCTION("IFERROR(
  LET(
    x, UPPER(SUBSTITUTE(TRIM(Data!B86),CHAR(160),"""")),
    base, VALUE(SUBSTITUTE(REGEXEXTRACT(x,""[0-9.,]+""),"","","""")),
    mult, IF(REGEXMATCH(x,""B""),1000000000, IF(REGEXMATCH(x,""M""),1000000, 1)),
    base * mult
  ),
  0
)"),6.4E9)</f>
        <v>6400000000</v>
      </c>
      <c r="D24" s="76">
        <f>IFERROR(__xludf.DUMMYFUNCTION("IFERROR(
  LET(
    x, UPPER(SUBSTITUTE(TRIM(Data!C86),CHAR(160),"""")),
    base, VALUE(SUBSTITUTE(REGEXEXTRACT(x,""[0-9.,]+""),"","","""")),
    mult, IF(REGEXMATCH(x,""B""),1000000000, IF(REGEXMATCH(x,""M""),1000000, 1)),
    base * mult
  ),
  0
)"),6.43E9)</f>
        <v>6430000000</v>
      </c>
      <c r="E24" s="76">
        <f>IFERROR(__xludf.DUMMYFUNCTION("IFERROR(
  LET(
    x, UPPER(SUBSTITUTE(TRIM(Data!D86),CHAR(160),"""")),
    base, VALUE(SUBSTITUTE(REGEXEXTRACT(x,""[0-9.,]+""),"","","""")),
    mult, IF(REGEXMATCH(x,""B""),1000000000, IF(REGEXMATCH(x,""M""),1000000, 1)),
    base * mult
  ),
  0
)"),7.58E9)</f>
        <v>7580000000</v>
      </c>
      <c r="F24" s="76">
        <f>IFERROR(__xludf.DUMMYFUNCTION("IFERROR(
  LET(
    x, UPPER(SUBSTITUTE(TRIM(Data!E86),CHAR(160),"""")),
    base, VALUE(SUBSTITUTE(REGEXEXTRACT(x,""[0-9.,]+""),"","","""")),
    mult, IF(REGEXMATCH(x,""B""),1000000000, IF(REGEXMATCH(x,""M""),1000000, 1)),
    base * mult
  ),
  0
)"),7.78E9)</f>
        <v>7780000000</v>
      </c>
      <c r="G24" s="77">
        <f>IFERROR(__xludf.DUMMYFUNCTION("IFERROR(
  LET(
    x, UPPER(SUBSTITUTE(TRIM(Data!F86),CHAR(160),"""")),
    base, VALUE(SUBSTITUTE(REGEXEXTRACT(x,""[0-9.,]+""),"","","""")),
    mult, IF(REGEXMATCH(x,""B""),1000000000, IF(REGEXMATCH(x,""M""),1000000, 1)),
    base * mult
  ),
  0
)"),9.49E9)</f>
        <v>9490000000</v>
      </c>
      <c r="H24" s="76">
        <f t="shared" ref="H24:L24" si="11">AVERAGE(C24:G24)</f>
        <v>7536000000</v>
      </c>
      <c r="I24" s="76">
        <f t="shared" si="11"/>
        <v>7763200000</v>
      </c>
      <c r="J24" s="76">
        <f t="shared" si="11"/>
        <v>8029840000</v>
      </c>
      <c r="K24" s="76">
        <f t="shared" si="11"/>
        <v>8119808000</v>
      </c>
      <c r="L24" s="77">
        <f t="shared" si="11"/>
        <v>8187769600</v>
      </c>
    </row>
    <row r="25">
      <c r="B25" s="38" t="s">
        <v>51</v>
      </c>
      <c r="C25" s="50">
        <f>IFERROR(__xludf.DUMMYFUNCTION("IFERROR(
  LET(
    x, UPPER(SUBSTITUTE(TRIM(Data!B88),CHAR(160),"""")),
    base, VALUE(SUBSTITUTE(REGEXEXTRACT(x,""[0-9.,]+""),"","","""")),
    mult, IF(REGEXMATCH(x,""B""),1000000000, IF(REGEXMATCH(x,""M""),1000000, 1)),
    base * mult
  ),
  0
)"),3.027E10)</f>
        <v>30270000000</v>
      </c>
      <c r="D25" s="50">
        <f>IFERROR(__xludf.DUMMYFUNCTION("IFERROR(
  LET(
    x, UPPER(SUBSTITUTE(TRIM(Data!C88),CHAR(160),"""")),
    base, VALUE(SUBSTITUTE(REGEXEXTRACT(x,""[0-9.,]+""),"","","""")),
    mult, IF(REGEXMATCH(x,""B""),1000000000, IF(REGEXMATCH(x,""M""),1000000, 1)),
    base * mult
  ),
  0
)"),3.572E10)</f>
        <v>35720000000</v>
      </c>
      <c r="E25" s="50">
        <f>IFERROR(__xludf.DUMMYFUNCTION("IFERROR(
  LET(
    x, UPPER(SUBSTITUTE(TRIM(Data!D88),CHAR(160),"""")),
    base, VALUE(SUBSTITUTE(REGEXEXTRACT(x,""[0-9.,]+""),"","","""")),
    mult, IF(REGEXMATCH(x,""B""),1000000000, IF(REGEXMATCH(x,""M""),1000000, 1)),
    base * mult
  ),
  0
)"),3.217E10)</f>
        <v>32170000000</v>
      </c>
      <c r="F25" s="50">
        <f>IFERROR(__xludf.DUMMYFUNCTION("IFERROR(
  LET(
    x, UPPER(SUBSTITUTE(TRIM(Data!E88),CHAR(160),"""")),
    base, VALUE(SUBSTITUTE(REGEXEXTRACT(x,""[0-9.,]+""),"","","""")),
    mult, IF(REGEXMATCH(x,""B""),1000000000, IF(REGEXMATCH(x,""M""),1000000, 1)),
    base * mult
  ),
  0
)"),3.878E10)</f>
        <v>38780000000</v>
      </c>
      <c r="G25" s="51">
        <f>IFERROR(__xludf.DUMMYFUNCTION("IFERROR(
  LET(
    x, UPPER(SUBSTITUTE(TRIM(Data!F88),CHAR(160),"""")),
    base, VALUE(SUBSTITUTE(REGEXEXTRACT(x,""[0-9.,]+""),"","","""")),
    mult, IF(REGEXMATCH(x,""B""),1000000000, IF(REGEXMATCH(x,""M""),1000000, 1)),
    base * mult
  ),
  0
)"),4.352E10)</f>
        <v>43520000000</v>
      </c>
      <c r="H25" s="50">
        <f t="shared" ref="H25:L25" si="12">FORECAST(H3,$C$25:G25,$C$3:G3)</f>
        <v>44960000000</v>
      </c>
      <c r="I25" s="50">
        <f t="shared" si="12"/>
        <v>47916000000</v>
      </c>
      <c r="J25" s="50">
        <f t="shared" si="12"/>
        <v>50872000000</v>
      </c>
      <c r="K25" s="50">
        <f t="shared" si="12"/>
        <v>53828000000</v>
      </c>
      <c r="L25" s="51">
        <f t="shared" si="12"/>
        <v>56784000000</v>
      </c>
    </row>
    <row r="26">
      <c r="A26" s="34"/>
      <c r="B26" s="28" t="s">
        <v>52</v>
      </c>
      <c r="C26" s="78" t="s">
        <v>19</v>
      </c>
      <c r="D26" s="30">
        <f t="shared" ref="D26:L26" si="13">D25/C25-1</f>
        <v>0.1800462504</v>
      </c>
      <c r="E26" s="30">
        <f t="shared" si="13"/>
        <v>-0.09938409854</v>
      </c>
      <c r="F26" s="30">
        <f t="shared" si="13"/>
        <v>0.2054709357</v>
      </c>
      <c r="G26" s="31">
        <f t="shared" si="13"/>
        <v>0.1222279526</v>
      </c>
      <c r="H26" s="30">
        <f t="shared" si="13"/>
        <v>0.03308823529</v>
      </c>
      <c r="I26" s="30">
        <f t="shared" si="13"/>
        <v>0.06574733096</v>
      </c>
      <c r="J26" s="30">
        <f t="shared" si="13"/>
        <v>0.0616912931</v>
      </c>
      <c r="K26" s="30">
        <f t="shared" si="13"/>
        <v>0.05810662054</v>
      </c>
      <c r="L26" s="31">
        <f t="shared" si="13"/>
        <v>0.05491565728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3.75" customHeight="1">
      <c r="B27" s="19"/>
      <c r="C27" s="35"/>
      <c r="D27" s="35"/>
      <c r="E27" s="35"/>
      <c r="F27" s="35"/>
      <c r="G27" s="36"/>
      <c r="H27" s="35"/>
      <c r="I27" s="35"/>
      <c r="J27" s="35"/>
      <c r="K27" s="35"/>
      <c r="L27" s="36"/>
    </row>
    <row r="28">
      <c r="B28" s="19"/>
      <c r="C28" s="35"/>
      <c r="D28" s="35"/>
      <c r="E28" s="35"/>
      <c r="F28" s="35"/>
      <c r="G28" s="36"/>
      <c r="H28" s="35"/>
      <c r="I28" s="35"/>
      <c r="J28" s="35"/>
      <c r="K28" s="35"/>
      <c r="L28" s="36"/>
    </row>
    <row r="29">
      <c r="B29" s="22" t="s">
        <v>53</v>
      </c>
      <c r="C29" s="25">
        <f>IFERROR(__xludf.DUMMYFUNCTION("IFERROR(
  LET(
    x, UPPER(SUBSTITUTE(TRIM(Data!B90),CHAR(160),"""")),
    base, VALUE(SUBSTITUTE(REGEXEXTRACT(x,""[0-9.,]+""),"","","""")),
    mult, IF(REGEXMATCH(x,""B""),1000000000, IF(REGEXMATCH(x,""M""),1000000, 1)),
    base * mult
  ),
  0
)"),3.906E10)</f>
        <v>39060000000</v>
      </c>
      <c r="D29" s="25">
        <f>IFERROR(__xludf.DUMMYFUNCTION("IFERROR(
  LET(
    x, UPPER(SUBSTITUTE(TRIM(Data!C90),CHAR(160),"""")),
    base, VALUE(SUBSTITUTE(REGEXEXTRACT(x,""[0-9.,]+""),"","","""")),
    mult, IF(REGEXMATCH(x,""B""),1000000000, IF(REGEXMATCH(x,""M""),1000000, 1)),
    base * mult
  ),
  0
)"),4.075E10)</f>
        <v>40750000000</v>
      </c>
      <c r="E29" s="25">
        <f>IFERROR(__xludf.DUMMYFUNCTION("IFERROR(
  LET(
    x, UPPER(SUBSTITUTE(TRIM(Data!D90),CHAR(160),"""")),
    base, VALUE(SUBSTITUTE(REGEXEXTRACT(x,""[0-9.,]+""),"","","""")),
    mult, IF(REGEXMATCH(x,""B""),1000000000, IF(REGEXMATCH(x,""M""),1000000, 1)),
    base * mult
  ),
  0
)"),4.275E10)</f>
        <v>42750000000</v>
      </c>
      <c r="F29" s="25">
        <f>IFERROR(__xludf.DUMMYFUNCTION("IFERROR(
  LET(
    x, UPPER(SUBSTITUTE(TRIM(Data!E90),CHAR(160),"""")),
    base, VALUE(SUBSTITUTE(REGEXEXTRACT(x,""[0-9.,]+""),"","","""")),
    mult, IF(REGEXMATCH(x,""B""),1000000000, IF(REGEXMATCH(x,""M""),1000000, 1)),
    base * mult
  ),
  0
)"),4.43E10)</f>
        <v>44300000000</v>
      </c>
      <c r="G29" s="26">
        <f>IFERROR(__xludf.DUMMYFUNCTION("IFERROR(
  LET(
    x, UPPER(SUBSTITUTE(TRIM(Data!F90),CHAR(160),"""")),
    base, VALUE(SUBSTITUTE(REGEXEXTRACT(x,""[0-9.,]+""),"","","""")),
    mult, IF(REGEXMATCH(x,""B""),1000000000, IF(REGEXMATCH(x,""M""),1000000, 1)),
    base * mult
  ),
  0
)"),4.874E10)</f>
        <v>48740000000</v>
      </c>
      <c r="H29" s="25">
        <f t="shared" ref="H29:L29" si="14">AVERAGE(C29:G29)</f>
        <v>43120000000</v>
      </c>
      <c r="I29" s="25">
        <f t="shared" si="14"/>
        <v>43932000000</v>
      </c>
      <c r="J29" s="25">
        <f t="shared" si="14"/>
        <v>44568400000</v>
      </c>
      <c r="K29" s="25">
        <f t="shared" si="14"/>
        <v>44932080000</v>
      </c>
      <c r="L29" s="26">
        <f t="shared" si="14"/>
        <v>45058496000</v>
      </c>
    </row>
    <row r="30">
      <c r="B30" s="22" t="s">
        <v>54</v>
      </c>
      <c r="C30" s="25">
        <f>IFERROR(__xludf.DUMMYFUNCTION("IFERROR(
  LET(
    x, UPPER(SUBSTITUTE(TRIM(Data!B95),CHAR(160),"""")),
    base, VALUE(SUBSTITUTE(REGEXEXTRACT(x,""[0-9.,]+""),"","","""")),
    mult, IF(REGEXMATCH(x,""B""),1000000000, IF(REGEXMATCH(x,""M""),1000000, 1)),
    base * mult
  ),
  0
)"),1.819E10)</f>
        <v>18190000000</v>
      </c>
      <c r="D30" s="25">
        <f>IFERROR(__xludf.DUMMYFUNCTION("IFERROR(
  LET(
    x, UPPER(SUBSTITUTE(TRIM(Data!C95),CHAR(160),"""")),
    base, VALUE(SUBSTITUTE(REGEXEXTRACT(x,""[0-9.,]+""),"","","""")),
    mult, IF(REGEXMATCH(x,""B""),1000000000, IF(REGEXMATCH(x,""M""),1000000, 1)),
    base * mult
  ),
  0
)"),1.799E10)</f>
        <v>17990000000</v>
      </c>
      <c r="E30" s="25">
        <f>IFERROR(__xludf.DUMMYFUNCTION("IFERROR(
  LET(
    x, UPPER(SUBSTITUTE(TRIM(Data!D95),CHAR(160),"""")),
    base, VALUE(SUBSTITUTE(REGEXEXTRACT(x,""[0-9.,]+""),"","","""")),
    mult, IF(REGEXMATCH(x,""B""),1000000000, IF(REGEXMATCH(x,""M""),1000000, 1)),
    base * mult
  ),
  0
)"),1.827E10)</f>
        <v>18270000000</v>
      </c>
      <c r="F30" s="25">
        <f>IFERROR(__xludf.DUMMYFUNCTION("IFERROR(
  LET(
    x, UPPER(SUBSTITUTE(TRIM(Data!E95),CHAR(160),"""")),
    base, VALUE(SUBSTITUTE(REGEXEXTRACT(x,""[0-9.,]+""),"","","""")),
    mult, IF(REGEXMATCH(x,""B""),1000000000, IF(REGEXMATCH(x,""M""),1000000, 1)),
    base * mult
  ),
  0
)"),1.916E10)</f>
        <v>19160000000</v>
      </c>
      <c r="G30" s="26">
        <f>IFERROR(__xludf.DUMMYFUNCTION("IFERROR(
  LET(
    x, UPPER(SUBSTITUTE(TRIM(Data!F95),CHAR(160),"""")),
    base, VALUE(SUBSTITUTE(REGEXEXTRACT(x,""[0-9.,]+""),"","","""")),
    mult, IF(REGEXMATCH(x,""B""),1000000000, IF(REGEXMATCH(x,""M""),1000000, 1)),
    base * mult
  ),
  0
)"),2.191E10)</f>
        <v>21910000000</v>
      </c>
      <c r="H30" s="25">
        <f t="shared" ref="H30:L30" si="15">AVERAGE(C30:G30)</f>
        <v>19104000000</v>
      </c>
      <c r="I30" s="25">
        <f t="shared" si="15"/>
        <v>19286800000</v>
      </c>
      <c r="J30" s="25">
        <f t="shared" si="15"/>
        <v>19546160000</v>
      </c>
      <c r="K30" s="25">
        <f t="shared" si="15"/>
        <v>19801392000</v>
      </c>
      <c r="L30" s="26">
        <f t="shared" si="15"/>
        <v>19929670400</v>
      </c>
    </row>
    <row r="31">
      <c r="B31" s="38" t="s">
        <v>55</v>
      </c>
      <c r="C31" s="50">
        <f>IFERROR(__xludf.DUMMYFUNCTION("IFERROR(
  LET(
    x, UPPER(SUBSTITUTE(TRIM(Data!B89),CHAR(160),"""")),
    base, VALUE(SUBSTITUTE(REGEXEXTRACT(x,""[0-9.,]+""),"","","""")),
    mult, IF(REGEXMATCH(x,""B""),1000000000, IF(REGEXMATCH(x,""M""),1000000, 1)),
    base * mult
  ),
  0
)"),2.087E10)</f>
        <v>20870000000</v>
      </c>
      <c r="D31" s="50">
        <f>IFERROR(__xludf.DUMMYFUNCTION("IFERROR(
  LET(
    x, UPPER(SUBSTITUTE(TRIM(Data!C89),CHAR(160),"""")),
    base, VALUE(SUBSTITUTE(REGEXEXTRACT(x,""[0-9.,]+""),"","","""")),
    mult, IF(REGEXMATCH(x,""B""),1000000000, IF(REGEXMATCH(x,""M""),1000000, 1)),
    base * mult
  ),
  0
)"),2.277E10)</f>
        <v>22770000000</v>
      </c>
      <c r="E31" s="50">
        <f>IFERROR(__xludf.DUMMYFUNCTION("IFERROR(
  LET(
    x, UPPER(SUBSTITUTE(TRIM(Data!D89),CHAR(160),"""")),
    base, VALUE(SUBSTITUTE(REGEXEXTRACT(x,""[0-9.,]+""),"","","""")),
    mult, IF(REGEXMATCH(x,""B""),1000000000, IF(REGEXMATCH(x,""M""),1000000, 1)),
    base * mult
  ),
  0
)"),2.449E10)</f>
        <v>24490000000</v>
      </c>
      <c r="F31" s="50">
        <f>IFERROR(__xludf.DUMMYFUNCTION("IFERROR(
  LET(
    x, UPPER(SUBSTITUTE(TRIM(Data!E89),CHAR(160),"""")),
    base, VALUE(SUBSTITUTE(REGEXEXTRACT(x,""[0-9.,]+""),"","","""")),
    mult, IF(REGEXMATCH(x,""B""),1000000000, IF(REGEXMATCH(x,""M""),1000000, 1)),
    base * mult
  ),
  0
)"),2.515E10)</f>
        <v>25150000000</v>
      </c>
      <c r="G31" s="51">
        <f>IFERROR(__xludf.DUMMYFUNCTION("IFERROR(
  LET(
    x, UPPER(SUBSTITUTE(TRIM(Data!F89),CHAR(160),"""")),
    base, VALUE(SUBSTITUTE(REGEXEXTRACT(x,""[0-9.,]+""),"","","""")),
    mult, IF(REGEXMATCH(x,""B""),1000000000, IF(REGEXMATCH(x,""M""),1000000, 1)),
    base * mult
  ),
  0
)"),2.682E10)</f>
        <v>26820000000</v>
      </c>
      <c r="H31" s="50">
        <f t="shared" ref="H31:L31" si="16">AVERAGE(C31:G31)</f>
        <v>24020000000</v>
      </c>
      <c r="I31" s="50">
        <f t="shared" si="16"/>
        <v>24650000000</v>
      </c>
      <c r="J31" s="50">
        <f t="shared" si="16"/>
        <v>25026000000</v>
      </c>
      <c r="K31" s="50">
        <f t="shared" si="16"/>
        <v>25133200000</v>
      </c>
      <c r="L31" s="51">
        <f t="shared" si="16"/>
        <v>25129840000</v>
      </c>
    </row>
    <row r="32" ht="3.75" customHeight="1">
      <c r="B32" s="19"/>
      <c r="C32" s="35"/>
      <c r="D32" s="35"/>
      <c r="E32" s="35"/>
      <c r="F32" s="35"/>
      <c r="G32" s="36"/>
      <c r="H32" s="35"/>
      <c r="I32" s="35"/>
      <c r="J32" s="35"/>
      <c r="K32" s="35"/>
      <c r="L32" s="36"/>
    </row>
    <row r="33">
      <c r="B33" s="19"/>
      <c r="C33" s="35"/>
      <c r="D33" s="35"/>
      <c r="E33" s="35"/>
      <c r="F33" s="35"/>
      <c r="G33" s="36"/>
      <c r="H33" s="35"/>
      <c r="I33" s="35"/>
      <c r="J33" s="35"/>
      <c r="K33" s="35"/>
      <c r="L33" s="36"/>
    </row>
    <row r="34">
      <c r="B34" s="22" t="s">
        <v>56</v>
      </c>
      <c r="C34" s="25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)"),4.42E10)</f>
        <v>44200000000</v>
      </c>
      <c r="D34" s="25">
        <f>IFERROR(__xludf.DUMMYFUNCTION("IFERROR(
  LET(
    x, UPPER(SUBSTITUTE(TRIM(Data!C99),CHAR(160),"""")),
    base, VALUE(SUBSTITUTE(REGEXEXTRACT(x,""[0-9.,]+""),"","","""")),
    mult, IF(REGEXMATCH(x,""B""),1000000000, IF(REGEXMATCH(x,""M""),1000000, 1)),
    base * mult
  ),
  )"),4.147E10)</f>
        <v>41470000000</v>
      </c>
      <c r="E34" s="25">
        <f>IFERROR(__xludf.DUMMYFUNCTION("IFERROR(
  LET(
    x, UPPER(SUBSTITUTE(TRIM(Data!D99),CHAR(160),"""")),
    base, VALUE(SUBSTITUTE(REGEXEXTRACT(x,""[0-9.,]+""),"","","""")),
    mult, IF(REGEXMATCH(x,""B""),1000000000, IF(REGEXMATCH(x,""M""),1000000, 1)),
    base * mult
  ),
  )"),3.921E10)</f>
        <v>39210000000</v>
      </c>
      <c r="F34" s="25">
        <f>IFERROR(__xludf.DUMMYFUNCTION("IFERROR(
  LET(
    x, UPPER(SUBSTITUTE(TRIM(Data!E99),CHAR(160),"""")),
    base, VALUE(SUBSTITUTE(REGEXEXTRACT(x,""[0-9.,]+""),"","","""")),
    mult, IF(REGEXMATCH(x,""B""),1000000000, IF(REGEXMATCH(x,""M""),1000000, 1)),
    base * mult
  ),
  )"),3.804E10)</f>
        <v>38040000000</v>
      </c>
      <c r="G34" s="26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0
)"),4.42E10)</f>
        <v>44200000000</v>
      </c>
      <c r="H34" s="25">
        <f t="shared" ref="H34:L34" si="17">FORECAST(H3,$C$34:G34,$C$3:G3)</f>
        <v>40395000000</v>
      </c>
      <c r="I34" s="25">
        <f t="shared" si="17"/>
        <v>40052000000</v>
      </c>
      <c r="J34" s="25">
        <f t="shared" si="17"/>
        <v>39709000000</v>
      </c>
      <c r="K34" s="25">
        <f t="shared" si="17"/>
        <v>39366000000</v>
      </c>
      <c r="L34" s="26">
        <f t="shared" si="17"/>
        <v>39023000000</v>
      </c>
    </row>
    <row r="35">
      <c r="B35" s="22" t="s">
        <v>57</v>
      </c>
      <c r="C35" s="76">
        <f>IFERROR(__xludf.DUMMYFUNCTION("IFERROR(
  LET(
    x, UPPER(SUBSTITUTE(TRIM(Data!B102),CHAR(160),"""")),
    base, VALUE(SUBSTITUTE(REGEXEXTRACT(x,""[0-9.,]+""),"","","""")),
    mult, IF(REGEXMATCH(x,""B""),1000000000, IF(REGEXMATCH(x,""M""),1000000, 1)),
    base * mult
  ),
  0
)"),9.29E9)</f>
        <v>9290000000</v>
      </c>
      <c r="D35" s="76">
        <f>IFERROR(__xludf.DUMMYFUNCTION("IFERROR(
  LET(
    x, UPPER(SUBSTITUTE(TRIM(Data!C102),CHAR(160),"""")),
    base, VALUE(SUBSTITUTE(REGEXEXTRACT(x,""[0-9.,]+""),"","","""")),
    mult, IF(REGEXMATCH(x,""B""),1000000000, IF(REGEXMATCH(x,""M""),1000000, 1)),
    base * mult
  ),
  0
)"),7.24E9)</f>
        <v>7240000000</v>
      </c>
      <c r="E35" s="76">
        <f>IFERROR(__xludf.DUMMYFUNCTION("IFERROR(
  LET(
    x, UPPER(SUBSTITUTE(TRIM(Data!D102),CHAR(160),"""")),
    base, VALUE(SUBSTITUTE(REGEXEXTRACT(x,""[0-9.,]+""),"","","""")),
    mult, IF(REGEXMATCH(x,""B""),1000000000, IF(REGEXMATCH(x,""M""),1000000, 1)),
    base * mult
  ),
  0
)"),9.23E9)</f>
        <v>9230000000</v>
      </c>
      <c r="F35" s="76">
        <f>IFERROR(__xludf.DUMMYFUNCTION("IFERROR(
  LET(
    x, UPPER(SUBSTITUTE(TRIM(Data!E102),CHAR(160),"""")),
    base, VALUE(SUBSTITUTE(REGEXEXTRACT(x,""[0-9.,]+""),"","","""")),
    mult, IF(REGEXMATCH(x,""B""),1000000000, IF(REGEXMATCH(x,""M""),1000000, 1)),
    base * mult
  ),
  0
)"),1.346E10)</f>
        <v>13460000000</v>
      </c>
      <c r="G35" s="77">
        <f>IFERROR(__xludf.DUMMYFUNCTION("IFERROR(
  LET(
    x, UPPER(SUBSTITUTE(TRIM(Data!F102),CHAR(160),"""")),
    base, VALUE(SUBSTITUTE(REGEXEXTRACT(x,""[0-9.,]+""),"","","""")),
    mult, IF(REGEXMATCH(x,""B""),1000000000, IF(REGEXMATCH(x,""M""),1000000, 1)),
    base * mult
  ),
  0
)"),1.6030000000000002E10)</f>
        <v>16030000000</v>
      </c>
      <c r="H35" s="25">
        <f t="shared" ref="H35:L35" si="18">FORECAST(H3,$C$35:G35,$C$3:G3)</f>
        <v>16960000000</v>
      </c>
      <c r="I35" s="25">
        <f t="shared" si="18"/>
        <v>18930000000</v>
      </c>
      <c r="J35" s="25">
        <f t="shared" si="18"/>
        <v>20900000000</v>
      </c>
      <c r="K35" s="25">
        <f t="shared" si="18"/>
        <v>22870000000</v>
      </c>
      <c r="L35" s="26">
        <f t="shared" si="18"/>
        <v>24840000000</v>
      </c>
    </row>
    <row r="36">
      <c r="B36" s="38" t="s">
        <v>58</v>
      </c>
      <c r="C36" s="50">
        <f>IFERROR(__xludf.DUMMYFUNCTION("regexreplace(Data!B103,""B"","""")*1000000000"),1.0569E11)</f>
        <v>105690000000</v>
      </c>
      <c r="D36" s="50">
        <f>IFERROR(__xludf.DUMMYFUNCTION("regexreplace(Data!C103,""B"","""")*1000000000"),1.0916E11)</f>
        <v>109160000000</v>
      </c>
      <c r="E36" s="50">
        <f>IFERROR(__xludf.DUMMYFUNCTION("regexreplace(Data!D103,""B"","""")*1000000000"),1.0668E11)</f>
        <v>106680000000</v>
      </c>
      <c r="F36" s="50">
        <f>IFERROR(__xludf.DUMMYFUNCTION("regexreplace(Data!E103,""B"","""")*1000000000"),1.1711E11)</f>
        <v>117110000000</v>
      </c>
      <c r="G36" s="50">
        <f>IFERROR(__xludf.DUMMYFUNCTION("regexreplace(Data!F103,""B"","""")*1000000000"),1.3687E11)</f>
        <v>136870000000</v>
      </c>
      <c r="H36" s="75">
        <f t="shared" ref="H36:L36" si="19">G36*(1+H37)</f>
        <v>146008069762</v>
      </c>
      <c r="I36" s="50">
        <f t="shared" si="19"/>
        <v>155756239027</v>
      </c>
      <c r="J36" s="50">
        <f t="shared" si="19"/>
        <v>166155240840</v>
      </c>
      <c r="K36" s="50">
        <f t="shared" si="19"/>
        <v>177248527770</v>
      </c>
      <c r="L36" s="51">
        <f t="shared" si="19"/>
        <v>189082453480</v>
      </c>
    </row>
    <row r="37">
      <c r="A37" s="34"/>
      <c r="B37" s="28" t="s">
        <v>59</v>
      </c>
      <c r="C37" s="79" t="s">
        <v>19</v>
      </c>
      <c r="D37" s="30">
        <f>Data!C104</f>
        <v>0.0328</v>
      </c>
      <c r="E37" s="30">
        <f>Data!D104</f>
        <v>-0.0228</v>
      </c>
      <c r="F37" s="30">
        <f>Data!E104</f>
        <v>0.0978</v>
      </c>
      <c r="G37" s="31">
        <f>Data!F104</f>
        <v>0.1687</v>
      </c>
      <c r="H37" s="30">
        <f>(G36/C36)^(1/4)-1</f>
        <v>0.0667645924</v>
      </c>
      <c r="I37" s="30">
        <f t="shared" ref="I37:L37" si="20">H37</f>
        <v>0.0667645924</v>
      </c>
      <c r="J37" s="30">
        <f t="shared" si="20"/>
        <v>0.0667645924</v>
      </c>
      <c r="K37" s="30">
        <f t="shared" si="20"/>
        <v>0.0667645924</v>
      </c>
      <c r="L37" s="31">
        <f t="shared" si="20"/>
        <v>0.0667645924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3.75" customHeight="1">
      <c r="B38" s="80"/>
      <c r="C38" s="81"/>
      <c r="D38" s="35"/>
      <c r="E38" s="35"/>
      <c r="F38" s="35"/>
      <c r="G38" s="36"/>
      <c r="H38" s="35"/>
      <c r="I38" s="35"/>
      <c r="J38" s="35"/>
      <c r="K38" s="35"/>
      <c r="L38" s="36"/>
    </row>
    <row r="39">
      <c r="B39" s="80"/>
      <c r="C39" s="82"/>
      <c r="D39" s="25"/>
      <c r="E39" s="25"/>
      <c r="F39" s="25"/>
      <c r="G39" s="26"/>
      <c r="H39" s="35"/>
      <c r="I39" s="35"/>
      <c r="J39" s="35"/>
      <c r="K39" s="35"/>
      <c r="L39" s="36"/>
    </row>
    <row r="40">
      <c r="B40" s="83" t="s">
        <v>60</v>
      </c>
      <c r="C40" s="82">
        <f>IFERROR(__xludf.DUMMYFUNCTION("IFERROR(
  LET(
    x, UPPER(SUBSTITUTE(TRIM(Data!B334),CHAR(160),"""")),
    base, VALUE(SUBSTITUTE(REGEXEXTRACT(x,""[0-9.,]+""),"","","""")),
    mult, IF(REGEXMATCH(x,""B""),1000000000, IF(REGEXMATCH(x,""M""),1000000, 1)),
    base * mult
  ),
  0
)"),2.72E9)</f>
        <v>2720000000</v>
      </c>
      <c r="D40" s="25">
        <f>IFERROR(__xludf.DUMMYFUNCTION("IFERROR(
  LET(
    x, UPPER(SUBSTITUTE(TRIM(Data!C334),CHAR(160),"""")),
    base, VALUE(SUBSTITUTE(REGEXEXTRACT(x,""[0-9.,]+""),"","","""")),
    mult, IF(REGEXMATCH(x,""B""),1000000000, IF(REGEXMATCH(x,""M""),1000000, 1)),
    base * mult
  ),
  0
)"),2.23E9)</f>
        <v>2230000000</v>
      </c>
      <c r="E40" s="25">
        <f>IFERROR(__xludf.DUMMYFUNCTION("IFERROR(
  LET(
    x, UPPER(SUBSTITUTE(TRIM(Data!D334),CHAR(160),"""")),
    base, VALUE(SUBSTITUTE(REGEXEXTRACT(x,""[0-9.,]+""),"","","""")),
    mult, IF(REGEXMATCH(x,""B""),1000000000, IF(REGEXMATCH(x,""M""),1000000, 1)),
    base * mult
  ),
  0
)"),1.66E9)</f>
        <v>1660000000</v>
      </c>
      <c r="F40" s="25">
        <f>IFERROR(__xludf.DUMMYFUNCTION("IFERROR(
  LET(
    x, UPPER(SUBSTITUTE(TRIM(Data!E334),CHAR(160),"""")),
    base, VALUE(SUBSTITUTE(REGEXEXTRACT(x,""[0-9.,]+""),"","","""")),
    mult, IF(REGEXMATCH(x,""B""),1000000000, IF(REGEXMATCH(x,""M""),1000000, 1)),
    base * mult
  ),
  0
)"),2.93E9)</f>
        <v>2930000000</v>
      </c>
      <c r="G40" s="26">
        <f>IFERROR(__xludf.DUMMYFUNCTION("IFERROR(
  LET(
    x, UPPER(SUBSTITUTE(TRIM(Data!F334),CHAR(160),"""")),
    base, VALUE(SUBSTITUTE(REGEXEXTRACT(x,""[0-9.,]+""),"","","""")),
    mult, IF(REGEXMATCH(x,""B""),1000000000, IF(REGEXMATCH(x,""M""),1000000, 1)),
    base * mult
  ),
  0
)"),2.88E9)</f>
        <v>2880000000</v>
      </c>
      <c r="H40" s="25">
        <f t="shared" ref="H40:L40" si="21">FORECAST(H3,$C$40:G40,$C$3:G3)</f>
        <v>2790000000</v>
      </c>
      <c r="I40" s="25">
        <f t="shared" si="21"/>
        <v>2892000000</v>
      </c>
      <c r="J40" s="25">
        <f t="shared" si="21"/>
        <v>2994000000</v>
      </c>
      <c r="K40" s="25">
        <f t="shared" si="21"/>
        <v>3096000000</v>
      </c>
      <c r="L40" s="26">
        <f t="shared" si="21"/>
        <v>3198000000</v>
      </c>
    </row>
    <row r="41">
      <c r="B41" s="83" t="s">
        <v>61</v>
      </c>
      <c r="C41" s="84">
        <f>IFERROR(__xludf.DUMMYFUNCTION("IFERROR(
  LET(
    x, UPPER(SUBSTITUTE(TRIM(Data!B335),CHAR(160),"""")),
    base, VALUE(SUBSTITUTE(REGEXEXTRACT(x,""[0-9.,]+""),"","","""")),
    mult, IF(REGEXMATCH(x,""B""),1000000000, IF(REGEXMATCH(x,""M""),1000000, 1)),
    base * mult
  ),
  0
)"),0.0)</f>
        <v>0</v>
      </c>
      <c r="D41" s="25">
        <f>IFERROR(__xludf.DUMMYFUNCTION("IFERROR(
  LET(
    x, UPPER(SUBSTITUTE(TRIM(Data!C335),CHAR(160),"""")),
    base, VALUE(SUBSTITUTE(REGEXEXTRACT(x,""[0-9.,]+""),"","","""")),
    mult, IF(REGEXMATCH(x,""B""),1000000000, IF(REGEXMATCH(x,""M""),1000000, 1)),
    base * mult
  ),
  0
)"),0.0)</f>
        <v>0</v>
      </c>
      <c r="E41" s="25">
        <f>IFERROR(__xludf.DUMMYFUNCTION("IFERROR(
  LET(
    x, UPPER(SUBSTITUTE(TRIM(Data!D335),CHAR(160),"""")),
    base, VALUE(SUBSTITUTE(REGEXEXTRACT(x,""[0-9.,]+""),"","","""")),
    mult, IF(REGEXMATCH(x,""B""),1000000000, IF(REGEXMATCH(x,""M""),1000000, 1)),
    base * mult
  ),
  0
)"),0.0)</f>
        <v>0</v>
      </c>
      <c r="F41" s="25">
        <f>IFERROR(__xludf.DUMMYFUNCTION("IFERROR(
  LET(
    x, UPPER(SUBSTITUTE(TRIM(Data!E335),CHAR(160),"""")),
    base, VALUE(SUBSTITUTE(REGEXEXTRACT(x,""[0-9.,]+""),"","","""")),
    mult, IF(REGEXMATCH(x,""B""),1000000000, IF(REGEXMATCH(x,""M""),1000000, 1)),
    base * mult
  ),
  0
)"),0.0)</f>
        <v>0</v>
      </c>
      <c r="G41" s="26">
        <f>IFERROR(__xludf.DUMMYFUNCTION("IFERROR(
  LET(
    x, UPPER(SUBSTITUTE(TRIM(Data!F335),CHAR(160),"""")),
    base, VALUE(SUBSTITUTE(REGEXEXTRACT(x,""[0-9.,]+""),"","","""")),
    mult, IF(REGEXMATCH(x,""B""),1000000000, IF(REGEXMATCH(x,""M""),1000000, 1)),
    base * mult
  ),
  0
)"),0.0)</f>
        <v>0</v>
      </c>
      <c r="H41" s="25">
        <f t="shared" ref="H41:L41" si="22">AVERAGE(C41:G41)</f>
        <v>0</v>
      </c>
      <c r="I41" s="25">
        <f t="shared" si="22"/>
        <v>0</v>
      </c>
      <c r="J41" s="25">
        <f t="shared" si="22"/>
        <v>0</v>
      </c>
      <c r="K41" s="25">
        <f t="shared" si="22"/>
        <v>0</v>
      </c>
      <c r="L41" s="26">
        <f t="shared" si="22"/>
        <v>0</v>
      </c>
    </row>
    <row r="42">
      <c r="B42" s="85" t="s">
        <v>62</v>
      </c>
      <c r="C42" s="86">
        <f>IFERROR(__xludf.DUMMYFUNCTION("IFERROR(
  LET(
    x, UPPER(SUBSTITUTE(TRIM(Data!B333),CHAR(160),"""")),
    base, VALUE(SUBSTITUTE(REGEXEXTRACT(x,""[0-9.,]+""),"","","""")),
    mult, IF(REGEXMATCH(x,""B""),1000000000, IF(REGEXMATCH(x,""M""),1000000, 1)),
    base * mult
  ),
  0
)"),2.72E9)</f>
        <v>2720000000</v>
      </c>
      <c r="D42" s="87">
        <f>IFERROR(__xludf.DUMMYFUNCTION("IFERROR(
  LET(
    x, UPPER(SUBSTITUTE(TRIM(Data!C333),CHAR(160),"""")),
    base, VALUE(SUBSTITUTE(REGEXEXTRACT(x,""[0-9.,]+""),"","","""")),
    mult, IF(REGEXMATCH(x,""B""),1000000000, IF(REGEXMATCH(x,""M""),1000000, 1)),
    base * mult
  ),
  0
)"),2.23E9)</f>
        <v>2230000000</v>
      </c>
      <c r="E42" s="87">
        <f>IFERROR(__xludf.DUMMYFUNCTION("IFERROR(
  LET(
    x, UPPER(SUBSTITUTE(TRIM(Data!D333),CHAR(160),"""")),
    base, VALUE(SUBSTITUTE(REGEXEXTRACT(x,""[0-9.,]+""),"","","""")),
    mult, IF(REGEXMATCH(x,""B""),1000000000, IF(REGEXMATCH(x,""M""),1000000, 1)),
    base * mult
  ),
  0
)"),1.66E9)</f>
        <v>1660000000</v>
      </c>
      <c r="F42" s="87">
        <f>IFERROR(__xludf.DUMMYFUNCTION("IFERROR(
  LET(
    x, UPPER(SUBSTITUTE(TRIM(Data!E333),CHAR(160),"""")),
    base, VALUE(SUBSTITUTE(REGEXEXTRACT(x,""[0-9.,]+""),"","","""")),
    mult, IF(REGEXMATCH(x,""B""),1000000000, IF(REGEXMATCH(x,""M""),1000000, 1)),
    base * mult
  ),
  0
)"),2.93E9)</f>
        <v>2930000000</v>
      </c>
      <c r="G42" s="88">
        <f>IFERROR(__xludf.DUMMYFUNCTION("IFERROR(
  LET(
    x, UPPER(SUBSTITUTE(TRIM(Data!F333),CHAR(160),"""")),
    base, VALUE(SUBSTITUTE(REGEXEXTRACT(x,""[0-9.,]+""),"","","""")),
    mult, IF(REGEXMATCH(x,""B""),1000000000, IF(REGEXMATCH(x,""M""),1000000, 1)),
    base * mult
  ),
  0
)"),2.88E9)</f>
        <v>2880000000</v>
      </c>
      <c r="H42" s="87">
        <f t="shared" ref="H42:L42" si="23">FORECAST(H3,$C$42:G42,$C$3:G3)</f>
        <v>2790000000</v>
      </c>
      <c r="I42" s="87">
        <f t="shared" si="23"/>
        <v>2892000000</v>
      </c>
      <c r="J42" s="87">
        <f t="shared" si="23"/>
        <v>2994000000</v>
      </c>
      <c r="K42" s="87">
        <f t="shared" si="23"/>
        <v>3096000000</v>
      </c>
      <c r="L42" s="88">
        <f t="shared" si="23"/>
        <v>3198000000</v>
      </c>
    </row>
  </sheetData>
  <mergeCells count="3">
    <mergeCell ref="B2:B3"/>
    <mergeCell ref="C2:G2"/>
    <mergeCell ref="H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12" width="25.13"/>
  </cols>
  <sheetData>
    <row r="2">
      <c r="B2" s="12" t="s">
        <v>37</v>
      </c>
      <c r="C2" s="13" t="s">
        <v>11</v>
      </c>
      <c r="D2" s="14"/>
      <c r="E2" s="14"/>
      <c r="F2" s="14"/>
      <c r="G2" s="15"/>
      <c r="H2" s="13" t="s">
        <v>12</v>
      </c>
      <c r="I2" s="14"/>
      <c r="J2" s="14"/>
      <c r="K2" s="14"/>
      <c r="L2" s="15"/>
    </row>
    <row r="3">
      <c r="B3" s="16"/>
      <c r="C3" s="17">
        <v>2020.0</v>
      </c>
      <c r="D3" s="17">
        <v>2021.0</v>
      </c>
      <c r="E3" s="17">
        <v>2022.0</v>
      </c>
      <c r="F3" s="17">
        <v>2023.0</v>
      </c>
      <c r="G3" s="18">
        <v>2024.0</v>
      </c>
      <c r="H3" s="17">
        <v>2025.0</v>
      </c>
      <c r="I3" s="17">
        <v>2026.0</v>
      </c>
      <c r="J3" s="17">
        <v>2027.0</v>
      </c>
      <c r="K3" s="17">
        <v>2028.0</v>
      </c>
      <c r="L3" s="18">
        <v>2029.0</v>
      </c>
    </row>
    <row r="4" ht="3.75" customHeight="1">
      <c r="B4" s="19"/>
      <c r="G4" s="20"/>
      <c r="L4" s="20"/>
    </row>
    <row r="5">
      <c r="B5" s="19"/>
      <c r="G5" s="20"/>
      <c r="L5" s="20"/>
    </row>
    <row r="6">
      <c r="B6" s="38" t="s">
        <v>63</v>
      </c>
      <c r="C6" s="89">
        <f>IFERROR(__xludf.DUMMYFUNCTION("IFERROR(
  LET(
    x, UPPER(SUBSTITUTE(TRIM(Data!B112),CHAR(160),"""")),
    base, VALUE(SUBSTITUTE(REGEXEXTRACT(x,""[0-9.,]+""),"","","""")),
    mult, IF(REGEXMATCH(x,""B""),1000000000, IF(REGEXMATCH(x,""M""),1000000, 1)),
    base * mult
  ),
  0
)
"),1.236E10)</f>
        <v>12360000000</v>
      </c>
      <c r="D6" s="89">
        <f>IFERROR(__xludf.DUMMYFUNCTION("IFERROR(
  LET(
    x, UPPER(SUBSTITUTE(TRIM(Data!C112),CHAR(160),"""")),
    base, VALUE(SUBSTITUTE(REGEXEXTRACT(x,""[0-9.,]+""),"","","""")),
    mult, IF(REGEXMATCH(x,""B""),1000000000, IF(REGEXMATCH(x,""M""),1000000, 1)),
    base * mult
  ),
)"),1.453E10)</f>
        <v>14530000000</v>
      </c>
      <c r="E6" s="89">
        <f>IFERROR(__xludf.DUMMYFUNCTION("IFERROR(
  LET(
    x, UPPER(SUBSTITUTE(TRIM(Data!D112),CHAR(160),"""")),
    base, VALUE(SUBSTITUTE(REGEXEXTRACT(x,""[0-9.,]+""),"","","""")),
    mult, IF(REGEXMATCH(x,""B""),1000000000, IF(REGEXMATCH(x,""M""),1000000, 1)),
    base * mult
  ),
)"),3.77E8)</f>
        <v>377000000</v>
      </c>
      <c r="F6" s="89">
        <f>IFERROR(__xludf.DUMMYFUNCTION("IFERROR(
  LET(
    x, UPPER(SUBSTITUTE(TRIM(Data!E112),CHAR(160),"""")),
    base, VALUE(SUBSTITUTE(REGEXEXTRACT(x,""[0-9.,]+""),"","","""")),
    mult, IF(REGEXMATCH(x,""B""),1000000000, IF(REGEXMATCH(x,""M""),1000000, 1)),
    base * mult
  ),
)"),1.7129999999999998E10)</f>
        <v>17130000000</v>
      </c>
      <c r="G6" s="90">
        <f>IFERROR(__xludf.DUMMYFUNCTION("IFERROR(
  LET(
    x, UPPER(SUBSTITUTE(TRIM(Data!F112),CHAR(160),"""")),
    base, VALUE(SUBSTITUTE(REGEXEXTRACT(x,""[0-9.,]+""),"","","""")),
    mult, IF(REGEXMATCH(x,""B""),1000000000, IF(REGEXMATCH(x,""M""),1000000, 1)),
    base * mult
  ),
)"),1.826E10)</f>
        <v>18260000000</v>
      </c>
      <c r="H6" s="89">
        <f t="shared" ref="H6:L6" si="1">FORECAST(H3,$C$6:G6,$C$3:G3)</f>
        <v>16851400000</v>
      </c>
      <c r="I6" s="89">
        <f t="shared" si="1"/>
        <v>18291400000</v>
      </c>
      <c r="J6" s="89">
        <f t="shared" si="1"/>
        <v>19731400000</v>
      </c>
      <c r="K6" s="89">
        <f t="shared" si="1"/>
        <v>21171400000</v>
      </c>
      <c r="L6" s="90">
        <f t="shared" si="1"/>
        <v>22611400000</v>
      </c>
    </row>
    <row r="7">
      <c r="B7" s="22" t="s">
        <v>34</v>
      </c>
      <c r="C7" s="73" t="str">
        <f>Data!B113</f>
        <v>-</v>
      </c>
      <c r="D7" s="72">
        <f>Data!C113</f>
        <v>0.1754</v>
      </c>
      <c r="E7" s="72">
        <f>Data!D113</f>
        <v>-0.974</v>
      </c>
      <c r="F7" s="72">
        <f>Data!E113</f>
        <v>44.4456</v>
      </c>
      <c r="G7" s="91">
        <f>Data!F113</f>
        <v>0.066</v>
      </c>
      <c r="H7" s="72">
        <f t="shared" ref="H7:L7" si="2">H6/G6-1</f>
        <v>-0.07714129244</v>
      </c>
      <c r="I7" s="72">
        <f t="shared" si="2"/>
        <v>0.08545284071</v>
      </c>
      <c r="J7" s="72">
        <f t="shared" si="2"/>
        <v>0.07872552128</v>
      </c>
      <c r="K7" s="72">
        <f t="shared" si="2"/>
        <v>0.07298012305</v>
      </c>
      <c r="L7" s="91">
        <f t="shared" si="2"/>
        <v>0.06801628612</v>
      </c>
    </row>
    <row r="8" ht="3.75" customHeight="1">
      <c r="B8" s="19"/>
      <c r="G8" s="20"/>
      <c r="L8" s="20"/>
    </row>
    <row r="9">
      <c r="B9" s="19"/>
      <c r="G9" s="20"/>
      <c r="L9" s="20"/>
    </row>
    <row r="10">
      <c r="B10" s="38" t="s">
        <v>64</v>
      </c>
      <c r="C10" s="89">
        <f>IFERROR(__xludf.DUMMYFUNCTION("IFERROR(
  LET(
    x, UPPER(SUBSTITUTE(TRIM(Data!B114),CHAR(160),"""")),
    base, VALUE(SUBSTITUTE(REGEXEXTRACT(x,""[0-9.,]+""),"","","""")),
    mult, IF(REGEXMATCH(x,""B""),1000000000, IF(REGEXMATCH(x,""M""),1000000, 1)),
    base * mult
  ),
  0
)
"),3.21E9)</f>
        <v>3210000000</v>
      </c>
      <c r="D10" s="89">
        <f>IFERROR(__xludf.DUMMYFUNCTION("IFERROR(
  LET(
    x, UPPER(SUBSTITUTE(TRIM(Data!C114),CHAR(160),"""")),
    base, VALUE(SUBSTITUTE(REGEXEXTRACT(x,""[0-9.,]+""),"","","""")),
    mult, IF(REGEXMATCH(x,""B""),1000000000, IF(REGEXMATCH(x,""M""),1000000, 1)),
    base * mult
  ),
  0
)
"),3.91E9)</f>
        <v>3910000000</v>
      </c>
      <c r="E10" s="89">
        <f>IFERROR(__xludf.DUMMYFUNCTION("IFERROR(
  LET(
    x, UPPER(SUBSTITUTE(TRIM(Data!D114),CHAR(160),"""")),
    base, VALUE(SUBSTITUTE(REGEXEXTRACT(x,""[0-9.,]+""),"","","""")),
    mult, IF(REGEXMATCH(x,""B""),1000000000, IF(REGEXMATCH(x,""M""),1000000, 1)),
    base * mult
  ),
  0
)
"),3.87E9)</f>
        <v>3870000000</v>
      </c>
      <c r="F10" s="89">
        <f>IFERROR(__xludf.DUMMYFUNCTION("IFERROR(
  LET(
    x, UPPER(SUBSTITUTE(TRIM(Data!E114),CHAR(160),"""")),
    base, VALUE(SUBSTITUTE(REGEXEXTRACT(x,""[0-9.,]+""),"","","""")),
    mult, IF(REGEXMATCH(x,""B""),1000000000, IF(REGEXMATCH(x,""M""),1000000, 1)),
    base * mult
  ),
  0
)
"),4.5E9)</f>
        <v>4500000000</v>
      </c>
      <c r="G10" s="90">
        <f>IFERROR(__xludf.DUMMYFUNCTION("IFERROR(
  LET(
    x, UPPER(SUBSTITUTE(TRIM(Data!F114),CHAR(160),"""")),
    base, VALUE(SUBSTITUTE(REGEXEXTRACT(x,""[0-9.,]+""),"","","""")),
    mult, IF(REGEXMATCH(x,""B""),1000000000, IF(REGEXMATCH(x,""M""),1000000, 1)),
    base * mult
  ),
  0
)
"),5.84E9)</f>
        <v>5840000000</v>
      </c>
      <c r="H10" s="89">
        <f t="shared" ref="H10:L10" si="3">FORECAST(H3,$C$10:G10,$C$3:G3)</f>
        <v>6021000000</v>
      </c>
      <c r="I10" s="89">
        <f t="shared" si="3"/>
        <v>6606000000</v>
      </c>
      <c r="J10" s="89">
        <f t="shared" si="3"/>
        <v>7191000000</v>
      </c>
      <c r="K10" s="89">
        <f t="shared" si="3"/>
        <v>7776000000</v>
      </c>
      <c r="L10" s="90">
        <f t="shared" si="3"/>
        <v>8361000000</v>
      </c>
    </row>
    <row r="11" ht="3.75" customHeight="1">
      <c r="B11" s="19"/>
      <c r="G11" s="20"/>
      <c r="L11" s="20"/>
    </row>
    <row r="12">
      <c r="B12" s="19"/>
      <c r="G12" s="20"/>
      <c r="L12" s="20"/>
    </row>
    <row r="13">
      <c r="B13" s="38" t="s">
        <v>65</v>
      </c>
      <c r="C13" s="92">
        <f>IFERROR(__xludf.DUMMYFUNCTION("IFERROR(
  LET(
    x, UPPER(SUBSTITUTE(TRIM(Data!B127),CHAR(160),"""")),
    base, VALUE(SUBSTITUTE(REGEXEXTRACT(x,""[0-9.,]+""),"","","""")),
    mult, IF(REGEXMATCH(x,""B""),1000000000, IF(REGEXMATCH(x,""M""),1000000, 1)),
    base * mult
  ),
  0
)
"),1.411E10)</f>
        <v>14110000000</v>
      </c>
      <c r="D13" s="89">
        <f>IFERROR(__xludf.DUMMYFUNCTION("IFERROR(
  LET(
    x, UPPER(SUBSTITUTE(TRIM(Data!C127),CHAR(160),"""")),
    base, VALUE(SUBSTITUTE(REGEXEXTRACT(x,""[0-9.,]+""),"","","""")),
    mult, IF(REGEXMATCH(x,""B""),1000000000, IF(REGEXMATCH(x,""M""),1000000, 1)),
    base * mult
  ),
  0
)
"),1.91E10)</f>
        <v>19100000000</v>
      </c>
      <c r="E13" s="89">
        <f>IFERROR(__xludf.DUMMYFUNCTION("IFERROR(
  LET(
    x, UPPER(SUBSTITUTE(TRIM(Data!D127),CHAR(160),"""")),
    base, VALUE(SUBSTITUTE(REGEXEXTRACT(x,""[0-9.,]+""),"","","""")),
    mult, IF(REGEXMATCH(x,""B""),1000000000, IF(REGEXMATCH(x,""M""),1000000, 1)),
    base * mult
  ),
  0
)
"),1.301E10)</f>
        <v>13010000000</v>
      </c>
      <c r="F13" s="89">
        <f>IFERROR(__xludf.DUMMYFUNCTION("IFERROR(
  LET(
    x, UPPER(SUBSTITUTE(TRIM(Data!E127),CHAR(160),"""")),
    base, VALUE(SUBSTITUTE(REGEXEXTRACT(x,""[0-9.,]+""),"","","""")),
    mult, IF(REGEXMATCH(x,""B""),1000000000, IF(REGEXMATCH(x,""M""),1000000, 1)),
    base * mult
  ),
  0
)
"),2.147E10)</f>
        <v>21470000000</v>
      </c>
      <c r="G13" s="90">
        <f>IFERROR(__xludf.DUMMYFUNCTION("IFERROR(
  LET(
    x, UPPER(SUBSTITUTE(TRIM(Data!F127),CHAR(160),"""")),
    base, VALUE(SUBSTITUTE(REGEXEXTRACT(x,""[0-9.,]+""),"","","""")),
    mult, IF(REGEXMATCH(x,""B""),1000000000, IF(REGEXMATCH(x,""M""),1000000, 1)),
    base * mult
  ),
  0
)
"),1.6469999999999998E10)</f>
        <v>16470000000</v>
      </c>
      <c r="H13" s="89">
        <f t="shared" ref="H13:L13" si="4">FORECAST(H3,$C$13:G13,$C$3:G3)</f>
        <v>18959000000</v>
      </c>
      <c r="I13" s="89">
        <f t="shared" si="4"/>
        <v>19668000000</v>
      </c>
      <c r="J13" s="89">
        <f t="shared" si="4"/>
        <v>20377000000</v>
      </c>
      <c r="K13" s="89">
        <f t="shared" si="4"/>
        <v>21086000000</v>
      </c>
      <c r="L13" s="90">
        <f t="shared" si="4"/>
        <v>21795000000</v>
      </c>
    </row>
    <row r="14">
      <c r="B14" s="22" t="s">
        <v>66</v>
      </c>
      <c r="C14" s="73" t="str">
        <f>Data!B128</f>
        <v>-</v>
      </c>
      <c r="D14" s="72">
        <f>Data!C128</f>
        <v>0.3534</v>
      </c>
      <c r="E14" s="72">
        <f>Data!D128</f>
        <v>-0.3189</v>
      </c>
      <c r="F14" s="72">
        <f>Data!E128</f>
        <v>0.6506</v>
      </c>
      <c r="G14" s="91">
        <f>Data!F128</f>
        <v>-0.2327</v>
      </c>
      <c r="H14" s="72">
        <f t="shared" ref="H14:L14" si="5">H13/G13-1</f>
        <v>0.1511232544</v>
      </c>
      <c r="I14" s="72">
        <f t="shared" si="5"/>
        <v>0.03739648716</v>
      </c>
      <c r="J14" s="72">
        <f t="shared" si="5"/>
        <v>0.0360484035</v>
      </c>
      <c r="K14" s="72">
        <f t="shared" si="5"/>
        <v>0.03479413064</v>
      </c>
      <c r="L14" s="91">
        <f t="shared" si="5"/>
        <v>0.03362420563</v>
      </c>
    </row>
    <row r="15" ht="3.75" customHeight="1">
      <c r="B15" s="19"/>
      <c r="G15" s="20"/>
      <c r="L15" s="20"/>
    </row>
    <row r="16">
      <c r="B16" s="19"/>
      <c r="G16" s="20"/>
      <c r="L16" s="20"/>
    </row>
    <row r="17">
      <c r="B17" s="22" t="s">
        <v>67</v>
      </c>
      <c r="C17" s="93">
        <f>IFERROR(__xludf.DUMMYFUNCTION("IFERROR(
  LET(
    x, UPPER(SUBSTITUTE(TRIM(Data!B153),CHAR(160),"""")),
    base, VALUE(SUBSTITUTE(REGEXEXTRACT(x,""[0-9.,]+""),"","","""")),
    mult, IF(REGEXMATCH(x,""B""),1000000000, IF(REGEXMATCH(x,""M""),1000000, 1)),
    base * mult
  ),
  0
)
"),1.4E7)</f>
        <v>14000000</v>
      </c>
      <c r="D17" s="93">
        <f>IFERROR(__xludf.DUMMYFUNCTION("IFERROR(
  LET(
    x, UPPER(SUBSTITUTE(TRIM(Data!C153),CHAR(160),"""")),
    base, VALUE(SUBSTITUTE(REGEXEXTRACT(x,""[0-9.,]+""),"","","""")),
    mult, IF(REGEXMATCH(x,""B""),1000000000, IF(REGEXMATCH(x,""M""),1000000, 1)),
    base * mult
  ),
  0
)
"),4.61E9)</f>
        <v>4610000000</v>
      </c>
      <c r="E17" s="93">
        <f>IFERROR(__xludf.DUMMYFUNCTION("IFERROR(
  LET(
    x, UPPER(SUBSTITUTE(TRIM(Data!D153),CHAR(160),"""")),
    base, VALUE(SUBSTITUTE(REGEXEXTRACT(x,""[0-9.,]+""),"","","""")),
    mult, IF(REGEXMATCH(x,""B""),1000000000, IF(REGEXMATCH(x,""M""),1000000, 1)),
    base * mult
  ),
  0
)
"),5.86E9)</f>
        <v>5860000000</v>
      </c>
      <c r="F17" s="93">
        <f>IFERROR(__xludf.DUMMYFUNCTION("IFERROR(
  LET(
    x, UPPER(SUBSTITUTE(TRIM(Data!E153),CHAR(160),"""")),
    base, VALUE(SUBSTITUTE(REGEXEXTRACT(x,""[0-9.,]+""),"","","""")),
    mult, IF(REGEXMATCH(x,""B""),1000000000, IF(REGEXMATCH(x,""M""),1000000, 1)),
    base * mult
  ),
  0
)
"),6.41E9)</f>
        <v>6410000000</v>
      </c>
      <c r="G17" s="94">
        <f>IFERROR(__xludf.DUMMYFUNCTION("IFERROR(
  LET(
    x, UPPER(SUBSTITUTE(TRIM(Data!F153),CHAR(160),"""")),
    base, VALUE(SUBSTITUTE(REGEXEXTRACT(x,""[0-9.,]+""),"","","""")),
    mult, IF(REGEXMATCH(x,""B""),1000000000, IF(REGEXMATCH(x,""M""),1000000, 1)),
    base * mult
  ),
  0
)
"),1.37E9)</f>
        <v>1370000000</v>
      </c>
      <c r="H17" s="23">
        <f t="shared" ref="H17:L17" si="6">AVERAGEIF(C17:G17,"&gt;0.5")</f>
        <v>3652800000</v>
      </c>
      <c r="I17" s="23">
        <f t="shared" si="6"/>
        <v>4380560000</v>
      </c>
      <c r="J17" s="23">
        <f t="shared" si="6"/>
        <v>4334672000</v>
      </c>
      <c r="K17" s="23">
        <f t="shared" si="6"/>
        <v>4029606400</v>
      </c>
      <c r="L17" s="24">
        <f t="shared" si="6"/>
        <v>3553527680</v>
      </c>
    </row>
    <row r="18">
      <c r="B18" s="38" t="s">
        <v>68</v>
      </c>
      <c r="C18" s="89">
        <f>IFERROR(__xludf.DUMMYFUNCTION("IFERROR(
  LET(
    x, UPPER(SUBSTITUTE(TRIM(Data!B154),CHAR(160),"""")),
    base, VALUE(SUBSTITUTE(REGEXEXTRACT(x,""[0-9.,]+""),"","","""")),
    mult, IF(REGEXMATCH(x,""B""),1000000000, IF(REGEXMATCH(x,""M""),1000000, 1)),
    base * mult
  ),
  0
)
"),9.66E9)</f>
        <v>9660000000</v>
      </c>
      <c r="D18" s="89">
        <f>IFERROR(__xludf.DUMMYFUNCTION("IFERROR(
  LET(
    x, UPPER(SUBSTITUTE(TRIM(Data!C154),CHAR(160),"""")),
    base, VALUE(SUBSTITUTE(REGEXEXTRACT(x,""[0-9.,]+""),"","","""")),
    mult, IF(REGEXMATCH(x,""B""),1000000000, IF(REGEXMATCH(x,""M""),1000000, 1)),
    base * mult
  ),
  0
)
"),1.471E10)</f>
        <v>14710000000</v>
      </c>
      <c r="E18" s="89">
        <f>IFERROR(__xludf.DUMMYFUNCTION("IFERROR(
  LET(
    x, UPPER(SUBSTITUTE(TRIM(Data!D154),CHAR(160),"""")),
    base, VALUE(SUBSTITUTE(REGEXEXTRACT(x,""[0-9.,]+""),"","","""")),
    mult, IF(REGEXMATCH(x,""B""),1000000000, IF(REGEXMATCH(x,""M""),1000000, 1)),
    base * mult
  ),
  0
)
"),9.14E9)</f>
        <v>9140000000</v>
      </c>
      <c r="F18" s="89">
        <f>IFERROR(__xludf.DUMMYFUNCTION("IFERROR(
  LET(
    x, UPPER(SUBSTITUTE(TRIM(Data!E154),CHAR(160),"""")),
    base, VALUE(SUBSTITUTE(REGEXEXTRACT(x,""[0-9.,]+""),"","","""")),
    mult, IF(REGEXMATCH(x,""B""),1000000000, IF(REGEXMATCH(x,""M""),1000000, 1)),
    base * mult
  ),
  0
)
"),1.81E10)</f>
        <v>18100000000</v>
      </c>
      <c r="G18" s="89">
        <f>IFERROR(__xludf.DUMMYFUNCTION("IFERROR(
  LET(
    x, UPPER(SUBSTITUTE(TRIM(Data!F154),CHAR(160),"""")),
    base, VALUE(SUBSTITUTE(REGEXEXTRACT(x,""[0-9.,]+""),"","","""")),
    mult, IF(REGEXMATCH(x,""B""),1000000000, IF(REGEXMATCH(x,""M""),1000000, 1)),
    base * mult
  ),
  0
)
"),1.236E10)</f>
        <v>12360000000</v>
      </c>
      <c r="H18" s="95">
        <f t="shared" ref="H18:L18" si="7">G18*(1+H19)</f>
        <v>13145551376</v>
      </c>
      <c r="I18" s="96">
        <f t="shared" si="7"/>
        <v>13586662664</v>
      </c>
      <c r="J18" s="96">
        <f t="shared" si="7"/>
        <v>13634975975</v>
      </c>
      <c r="K18" s="96">
        <f t="shared" si="7"/>
        <v>13274411805</v>
      </c>
      <c r="L18" s="97">
        <f t="shared" si="7"/>
        <v>12525150063</v>
      </c>
    </row>
    <row r="19">
      <c r="B19" s="22" t="s">
        <v>69</v>
      </c>
      <c r="C19" s="73" t="str">
        <f>Data!B155</f>
        <v>-</v>
      </c>
      <c r="D19" s="72">
        <f>Data!C155</f>
        <v>0.5223</v>
      </c>
      <c r="E19" s="72">
        <f>Data!D155</f>
        <v>-0.3783</v>
      </c>
      <c r="F19" s="72">
        <f>Data!E155</f>
        <v>0.9792</v>
      </c>
      <c r="G19" s="91">
        <f>Data!F155</f>
        <v>-0.317</v>
      </c>
      <c r="H19" s="72">
        <f>(G18/C18)^(1/4)-1</f>
        <v>0.06355593657</v>
      </c>
      <c r="I19" s="72">
        <f t="shared" ref="I19:L19" si="8">H19-3%</f>
        <v>0.03355593657</v>
      </c>
      <c r="J19" s="72">
        <f t="shared" si="8"/>
        <v>0.003555936565</v>
      </c>
      <c r="K19" s="72">
        <f t="shared" si="8"/>
        <v>-0.02644406343</v>
      </c>
      <c r="L19" s="91">
        <f t="shared" si="8"/>
        <v>-0.05644406343</v>
      </c>
    </row>
    <row r="20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</row>
  </sheetData>
  <mergeCells count="3">
    <mergeCell ref="B2:B3"/>
    <mergeCell ref="C2:G2"/>
    <mergeCell ref="H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11" width="18.88"/>
  </cols>
  <sheetData>
    <row r="1" ht="3.75" customHeight="1"/>
    <row r="2">
      <c r="G2" s="99" t="s">
        <v>70</v>
      </c>
    </row>
    <row r="4">
      <c r="B4" s="100" t="s">
        <v>71</v>
      </c>
      <c r="C4" s="101" t="s">
        <v>11</v>
      </c>
      <c r="D4" s="14"/>
      <c r="E4" s="14"/>
      <c r="F4" s="14"/>
      <c r="G4" s="15"/>
      <c r="H4" s="13" t="s">
        <v>12</v>
      </c>
      <c r="I4" s="14"/>
      <c r="J4" s="14"/>
      <c r="K4" s="15"/>
    </row>
    <row r="5">
      <c r="B5" s="102"/>
      <c r="C5" s="103">
        <v>2020.0</v>
      </c>
      <c r="D5" s="17">
        <v>2021.0</v>
      </c>
      <c r="E5" s="17">
        <v>2022.0</v>
      </c>
      <c r="F5" s="17">
        <v>2023.0</v>
      </c>
      <c r="G5" s="18">
        <v>2024.0</v>
      </c>
      <c r="H5" s="103">
        <v>2025.0</v>
      </c>
      <c r="I5" s="17">
        <v>2026.0</v>
      </c>
      <c r="J5" s="17">
        <v>2027.0</v>
      </c>
      <c r="K5" s="18">
        <v>2028.0</v>
      </c>
    </row>
    <row r="6" ht="3.75" customHeight="1">
      <c r="B6" s="19"/>
      <c r="G6" s="20"/>
      <c r="H6" s="80"/>
      <c r="K6" s="20"/>
    </row>
    <row r="7">
      <c r="B7" s="19"/>
      <c r="G7" s="20"/>
      <c r="H7" s="80"/>
      <c r="K7" s="20"/>
    </row>
    <row r="8">
      <c r="B8" s="63" t="s">
        <v>13</v>
      </c>
      <c r="C8" s="23">
        <f>'Income Statement'!C15</f>
        <v>48910000000</v>
      </c>
      <c r="D8" s="23">
        <f>'Income Statement'!D15</f>
        <v>58470000000</v>
      </c>
      <c r="E8" s="23">
        <f>'Income Statement'!E15</f>
        <v>59870000000</v>
      </c>
      <c r="F8" s="23">
        <f>'Income Statement'!F15</f>
        <v>63970000000</v>
      </c>
      <c r="G8" s="23">
        <f>'Income Statement'!G15</f>
        <v>64930000000</v>
      </c>
      <c r="H8" s="104">
        <v>6.668E10</v>
      </c>
      <c r="I8" s="105">
        <v>7.017E10</v>
      </c>
      <c r="J8" s="105">
        <v>7.475E10</v>
      </c>
      <c r="K8" s="106">
        <v>7.452E10</v>
      </c>
    </row>
    <row r="9">
      <c r="A9" s="34"/>
      <c r="B9" s="28" t="s">
        <v>72</v>
      </c>
      <c r="C9" s="27" t="s">
        <v>19</v>
      </c>
      <c r="D9" s="107">
        <f t="shared" ref="D9:K9" si="1">D8/C8-1</f>
        <v>0.1954610509</v>
      </c>
      <c r="E9" s="107">
        <f t="shared" si="1"/>
        <v>0.02394390286</v>
      </c>
      <c r="F9" s="107">
        <f t="shared" si="1"/>
        <v>0.06848171037</v>
      </c>
      <c r="G9" s="107">
        <f t="shared" si="1"/>
        <v>0.01500703455</v>
      </c>
      <c r="H9" s="108">
        <f t="shared" si="1"/>
        <v>0.02695210226</v>
      </c>
      <c r="I9" s="107">
        <f t="shared" si="1"/>
        <v>0.05233953209</v>
      </c>
      <c r="J9" s="107">
        <f t="shared" si="1"/>
        <v>0.06527005843</v>
      </c>
      <c r="K9" s="109">
        <f t="shared" si="1"/>
        <v>-0.003076923077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ht="3.75" customHeight="1">
      <c r="B10" s="19"/>
      <c r="H10" s="80"/>
      <c r="K10" s="20"/>
    </row>
    <row r="11">
      <c r="B11" s="19"/>
      <c r="G11" s="20"/>
      <c r="H11" s="80"/>
      <c r="K11" s="20"/>
    </row>
    <row r="12">
      <c r="B12" s="63" t="s">
        <v>26</v>
      </c>
      <c r="C12" s="23">
        <f>IFERROR(__xludf.DUMMYFUNCTION("IFERROR(
  LET(
    x, UPPER(SUBSTITUTE(TRIM(Data!B22),CHAR(160),"""")),
    neg, IF(LEFT(x,1)=""("", -1, 1),
    numtext, REGEXEXTRACT(x,""[0-9.,]+""),
    base, VALUE(SUBSTITUTE(numtext,"","","""")),
    mult, IF(REGEXMATCH(x,""B""),1000000000, IF(REGEX"&amp;"MATCH(x,""M""),1000000, 1)),
    neg * base * mult
  ),
  0
)
"),1.246E10)</f>
        <v>12460000000</v>
      </c>
      <c r="D12" s="23">
        <f>IFERROR(__xludf.DUMMYFUNCTION("IFERROR(
  LET(
    x, UPPER(SUBSTITUTE(TRIM(Data!C22),CHAR(160),"""")),
    neg, IF(LEFT(x,1)=""("", -1, 1),
    numtext, REGEXEXTRACT(x,""[0-9.,]+""),
    base, VALUE(SUBSTITUTE(numtext,"","","""")),
    mult, IF(REGEXMATCH(x,""B""),1000000000, IF(REGEX"&amp;"MATCH(x,""M""),1000000, 1)),
    neg * base * mult
  ),
  0
)
"),1.723E10)</f>
        <v>17230000000</v>
      </c>
      <c r="E12" s="23">
        <f>IFERROR(__xludf.DUMMYFUNCTION("IFERROR(
  LET(
    x, UPPER(SUBSTITUTE(TRIM(Data!D22),CHAR(160),"""")),
    neg, IF(LEFT(x,1)=""("", -1, 1),
    numtext, REGEXEXTRACT(x,""[0-9.,]+""),
    base, VALUE(SUBSTITUTE(numtext,"","","""")),
    mult, IF(REGEXMATCH(x,""B""),1000000000, IF(REGEX"&amp;"MATCH(x,""M""),1000000, 1)),
    neg * base * mult
  ),
  0
)
"),1.95E9)</f>
        <v>1950000000</v>
      </c>
      <c r="F12" s="23">
        <f>IFERROR(__xludf.DUMMYFUNCTION("IFERROR(
  LET(
    x, UPPER(SUBSTITUTE(TRIM(Data!E22),CHAR(160),"""")),
    neg, IF(LEFT(x,1)=""("", -1, 1),
    numtext, REGEXEXTRACT(x,""[0-9.,]+""),
    base, VALUE(SUBSTITUTE(numtext,"","","""")),
    mult, IF(REGEXMATCH(x,""B""),1000000000, IF(REGEX"&amp;"MATCH(x,""M""),1000000, 1)),
    neg * base * mult
  ),
  0
)
"),1.947E10)</f>
        <v>19470000000</v>
      </c>
      <c r="G12" s="23">
        <f>IFERROR(__xludf.DUMMYFUNCTION("IFERROR(
  LET(
    x, UPPER(SUBSTITUTE(TRIM(Data!F22),CHAR(160),"""")),
    neg, IF(LEFT(x,1)=""("", -1, 1),
    numtext, REGEXEXTRACT(x,""[0-9.,]+""),
    base, VALUE(SUBSTITUTE(numtext,"","","""")),
    mult, IF(REGEXMATCH(x,""B""),1000000000, IF(REGEX"&amp;"MATCH(x,""M""),1000000, 1)),
    neg * base * mult
  ),
  0
)
"),2.178E10)</f>
        <v>21780000000</v>
      </c>
      <c r="H12" s="110">
        <f t="shared" ref="H12:K12" si="2">H8*H13</f>
        <v>14944547271</v>
      </c>
      <c r="I12" s="23">
        <f t="shared" si="2"/>
        <v>15726737882</v>
      </c>
      <c r="J12" s="23">
        <f t="shared" si="2"/>
        <v>16753222983</v>
      </c>
      <c r="K12" s="24">
        <f t="shared" si="2"/>
        <v>16701674604</v>
      </c>
    </row>
    <row r="13">
      <c r="B13" s="28" t="s">
        <v>73</v>
      </c>
      <c r="C13" s="72">
        <f t="shared" ref="C13:G13" si="3">C12/C8</f>
        <v>0.2547536291</v>
      </c>
      <c r="D13" s="72">
        <f t="shared" si="3"/>
        <v>0.294681033</v>
      </c>
      <c r="E13" s="72">
        <f t="shared" si="3"/>
        <v>0.03257056957</v>
      </c>
      <c r="F13" s="72">
        <f t="shared" si="3"/>
        <v>0.3043614194</v>
      </c>
      <c r="G13" s="91">
        <f t="shared" si="3"/>
        <v>0.3354381642</v>
      </c>
      <c r="H13" s="108">
        <f>AVERAGEIF(E13:G13,"&gt;0.01")</f>
        <v>0.2241233844</v>
      </c>
      <c r="I13" s="107">
        <f t="shared" ref="I13:K13" si="4">H13</f>
        <v>0.2241233844</v>
      </c>
      <c r="J13" s="107">
        <f t="shared" si="4"/>
        <v>0.2241233844</v>
      </c>
      <c r="K13" s="109">
        <f t="shared" si="4"/>
        <v>0.2241233844</v>
      </c>
    </row>
    <row r="14" ht="3.75" customHeight="1">
      <c r="B14" s="22"/>
      <c r="G14" s="20"/>
      <c r="H14" s="80"/>
      <c r="K14" s="20"/>
    </row>
    <row r="15">
      <c r="B15" s="22"/>
      <c r="G15" s="20"/>
      <c r="H15" s="80"/>
      <c r="K15" s="20"/>
    </row>
    <row r="16">
      <c r="B16" s="63" t="s">
        <v>74</v>
      </c>
      <c r="C16" s="23">
        <f>IFERROR(__xludf.DUMMYFUNCTION("IFERROR(
  LET(
    x, UPPER(SUBSTITUTE(TRIM(Data!B33),CHAR(160),"""")),
    neg, IF(LEFT(x,1)=""("", -1, 1),
    numtext, REGEXEXTRACT(x,""[0-9.,]+""),
    base, VALUE(SUBSTITUTE(numtext,"","","""")),
    mult, IF(REGEXMATCH(x,""B""),1000000000, IF(REGEX"&amp;"MATCH(x,""M""),1000000, 1)),
    neg * base * mult
  ),
  0
)
"),1.52E9)</f>
        <v>1520000000</v>
      </c>
      <c r="D16" s="23">
        <f>IFERROR(__xludf.DUMMYFUNCTION("IFERROR(
  LET(
    x, UPPER(SUBSTITUTE(TRIM(Data!C33),CHAR(160),"""")),
    neg, IF(LEFT(x,1)=""("", -1, 1),
    numtext, REGEXEXTRACT(x,""[0-9.,]+""),
    base, VALUE(SUBSTITUTE(numtext,"","","""")),
    mult, IF(REGEXMATCH(x,""B""),1000000000, IF(REGEX"&amp;"MATCH(x,""M""),1000000, 1)),
    neg * base * mult
  ),
  0
)
"),1.92E9)</f>
        <v>1920000000</v>
      </c>
      <c r="E16" s="23">
        <f>IFERROR(__xludf.DUMMYFUNCTION("IFERROR(
  LET(
    x, UPPER(SUBSTITUTE(TRIM(Data!D33),CHAR(160),"""")),
    neg, IF(LEFT(x,1)=""("", -1, 1),
    numtext, REGEXEXTRACT(x,""[0-9.,]+""),
    base, VALUE(SUBSTITUTE(numtext,"","","""")),
    mult, IF(REGEXMATCH(x,""B""),1000000000, IF(REGEX"&amp;"MATCH(x,""M""),1000000, 1)),
    neg * base * mult
  ),
  0
)
"),1.51E9)</f>
        <v>1510000000</v>
      </c>
      <c r="F16" s="23">
        <f>IFERROR(__xludf.DUMMYFUNCTION("IFERROR(
  LET(
    x, UPPER(SUBSTITUTE(TRIM(Data!E33),CHAR(160),"""")),
    neg, IF(LEFT(x,1)=""("", -1, 1),
    numtext, REGEXEXTRACT(x,""[0-9.,]+""),
    base, VALUE(SUBSTITUTE(numtext,"","","""")),
    mult, IF(REGEXMATCH(x,""B""),1000000000, IF(REGEX"&amp;"MATCH(x,""M""),1000000, 1)),
    neg * base * mult
  ),
  0
)
"),2.8E9)</f>
        <v>2800000000</v>
      </c>
      <c r="G16" s="23">
        <f>IFERROR(__xludf.DUMMYFUNCTION("IFERROR(
  LET(
    x, UPPER(SUBSTITUTE(TRIM(Data!F33),CHAR(160),"""")),
    neg, IF(LEFT(x,1)=""("", -1, 1),
    numtext, REGEXEXTRACT(x,""[0-9.,]+""),
    base, VALUE(SUBSTITUTE(numtext,"","","""")),
    mult, IF(REGEXMATCH(x,""B""),1000000000, IF(REGEX"&amp;"MATCH(x,""M""),1000000, 1)),
    neg * base * mult
  ),
  0
)
"),2.8E9)</f>
        <v>2800000000</v>
      </c>
      <c r="H16" s="110">
        <f t="shared" ref="H16:K16" si="5">H17*H12</f>
        <v>5214293400</v>
      </c>
      <c r="I16" s="23">
        <f t="shared" si="5"/>
        <v>5487207077</v>
      </c>
      <c r="J16" s="23">
        <f t="shared" si="5"/>
        <v>5845357403</v>
      </c>
      <c r="K16" s="24">
        <f t="shared" si="5"/>
        <v>5827371688</v>
      </c>
    </row>
    <row r="17">
      <c r="A17" s="34"/>
      <c r="B17" s="28" t="s">
        <v>75</v>
      </c>
      <c r="C17" s="107">
        <f t="shared" ref="C17:G17" si="6">C16/C12</f>
        <v>0.1219903692</v>
      </c>
      <c r="D17" s="107">
        <f t="shared" si="6"/>
        <v>0.1114335461</v>
      </c>
      <c r="E17" s="107">
        <f t="shared" si="6"/>
        <v>0.7743589744</v>
      </c>
      <c r="F17" s="107">
        <f t="shared" si="6"/>
        <v>0.1438109913</v>
      </c>
      <c r="G17" s="109">
        <f t="shared" si="6"/>
        <v>0.1285583104</v>
      </c>
      <c r="H17" s="108">
        <f>AVERAGEIF(E17:G17,"&gt;0.01")</f>
        <v>0.3489094253</v>
      </c>
      <c r="I17" s="107">
        <f t="shared" ref="I17:K17" si="7">H17</f>
        <v>0.3489094253</v>
      </c>
      <c r="J17" s="107">
        <f t="shared" si="7"/>
        <v>0.3489094253</v>
      </c>
      <c r="K17" s="109">
        <f t="shared" si="7"/>
        <v>0.3489094253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3.75" customHeight="1">
      <c r="B18" s="22"/>
      <c r="G18" s="20"/>
      <c r="H18" s="80"/>
      <c r="K18" s="20"/>
    </row>
    <row r="19">
      <c r="B19" s="22"/>
      <c r="G19" s="20"/>
      <c r="H19" s="80"/>
      <c r="K19" s="20"/>
    </row>
    <row r="20">
      <c r="B20" s="38" t="s">
        <v>76</v>
      </c>
      <c r="C20" s="111" t="s">
        <v>19</v>
      </c>
      <c r="D20" s="111" t="s">
        <v>19</v>
      </c>
      <c r="E20" s="111" t="s">
        <v>19</v>
      </c>
      <c r="F20" s="111" t="s">
        <v>19</v>
      </c>
      <c r="G20" s="112" t="s">
        <v>19</v>
      </c>
      <c r="H20" s="95">
        <f t="shared" ref="H20:K20" si="8">H12-H16</f>
        <v>9730253871</v>
      </c>
      <c r="I20" s="96">
        <f t="shared" si="8"/>
        <v>10239530805</v>
      </c>
      <c r="J20" s="96">
        <f t="shared" si="8"/>
        <v>10907865579</v>
      </c>
      <c r="K20" s="97">
        <f t="shared" si="8"/>
        <v>10874302916</v>
      </c>
    </row>
    <row r="21" ht="3.75" customHeight="1">
      <c r="B21" s="22"/>
      <c r="G21" s="20"/>
      <c r="H21" s="80"/>
      <c r="K21" s="20"/>
    </row>
    <row r="22">
      <c r="B22" s="22"/>
      <c r="G22" s="20"/>
      <c r="H22" s="80"/>
      <c r="K22" s="20"/>
    </row>
    <row r="23">
      <c r="B23" s="63" t="s">
        <v>77</v>
      </c>
      <c r="C23" s="23">
        <f>IFERROR(__xludf.DUMMYFUNCTION("IFERROR(
  LET(
    x, UPPER(SUBSTITUTE(TRIM(Data!B114),CHAR(160),"""")),
    neg, IF(LEFT(x,1)=""("", -1, 1),
    numtext, REGEXEXTRACT(x,""[0-9.,]+""),
    base, VALUE(SUBSTITUTE(numtext,"","","""")),
    mult, IF(REGEXMATCH(x,""B""),1000000000, IF(REGE"&amp;"XMATCH(x,""M""),1000000, 1)),
    neg * base * mult
  ),
  0
)
"),3.21E9)</f>
        <v>3210000000</v>
      </c>
      <c r="D23" s="23">
        <f>IFERROR(__xludf.DUMMYFUNCTION("IFERROR(
  LET(
    x, UPPER(SUBSTITUTE(TRIM(Data!C114),CHAR(160),"""")),
    neg, IF(LEFT(x,1)=""("", -1, 1),
    numtext, REGEXEXTRACT(x,""[0-9.,]+""),
    base, VALUE(SUBSTITUTE(numtext,"","","""")),
    mult, IF(REGEXMATCH(x,""B""),1000000000, IF(REGE"&amp;"XMATCH(x,""M""),1000000, 1)),
    neg * base * mult
  ),
  0
)
"),3.91E9)</f>
        <v>3910000000</v>
      </c>
      <c r="E23" s="23">
        <f>IFERROR(__xludf.DUMMYFUNCTION("IFERROR(
  LET(
    x, UPPER(SUBSTITUTE(TRIM(Data!D114),CHAR(160),"""")),
    neg, IF(LEFT(x,1)=""("", -1, 1),
    numtext, REGEXEXTRACT(x,""[0-9.,]+""),
    base, VALUE(SUBSTITUTE(numtext,"","","""")),
    mult, IF(REGEXMATCH(x,""B""),1000000000, IF(REGE"&amp;"XMATCH(x,""M""),1000000, 1)),
    neg * base * mult
  ),
  0
)
"),3.87E9)</f>
        <v>3870000000</v>
      </c>
      <c r="F23" s="23">
        <f>IFERROR(__xludf.DUMMYFUNCTION("IFERROR(
  LET(
    x, UPPER(SUBSTITUTE(TRIM(Data!E114),CHAR(160),"""")),
    neg, IF(LEFT(x,1)=""("", -1, 1),
    numtext, REGEXEXTRACT(x,""[0-9.,]+""),
    base, VALUE(SUBSTITUTE(numtext,"","","""")),
    mult, IF(REGEXMATCH(x,""B""),1000000000, IF(REGE"&amp;"XMATCH(x,""M""),1000000, 1)),
    neg * base * mult
  ),
  0
)
"),4.5E9)</f>
        <v>4500000000</v>
      </c>
      <c r="G23" s="24">
        <f>IFERROR(__xludf.DUMMYFUNCTION("IFERROR(
  LET(
    x, UPPER(SUBSTITUTE(TRIM(Data!F114),CHAR(160),"""")),
    neg, IF(LEFT(x,1)=""("", -1, 1),
    numtext, REGEXEXTRACT(x,""[0-9.,]+""),
    base, VALUE(SUBSTITUTE(numtext,"","","""")),
    mult, IF(REGEXMATCH(x,""B""),1000000000, IF(REGE"&amp;"XMATCH(x,""M""),1000000, 1)),
    neg * base * mult
  ),
  0
)
"),5.84E9)</f>
        <v>5840000000</v>
      </c>
      <c r="H23" s="23">
        <f t="shared" ref="H23:K23" si="9">H8*H24</f>
        <v>4999411759</v>
      </c>
      <c r="I23" s="23">
        <f t="shared" si="9"/>
        <v>5261078631</v>
      </c>
      <c r="J23" s="23">
        <f t="shared" si="9"/>
        <v>5604469541</v>
      </c>
      <c r="K23" s="24">
        <f t="shared" si="9"/>
        <v>5587225019</v>
      </c>
    </row>
    <row r="24">
      <c r="A24" s="34"/>
      <c r="B24" s="28" t="s">
        <v>73</v>
      </c>
      <c r="C24" s="107">
        <f t="shared" ref="C24:G24" si="10">C23/C8</f>
        <v>0.06563075036</v>
      </c>
      <c r="D24" s="107">
        <f t="shared" si="10"/>
        <v>0.06687190012</v>
      </c>
      <c r="E24" s="107">
        <f t="shared" si="10"/>
        <v>0.06464005345</v>
      </c>
      <c r="F24" s="107">
        <f t="shared" si="10"/>
        <v>0.07034547444</v>
      </c>
      <c r="G24" s="107">
        <f t="shared" si="10"/>
        <v>0.08994301556</v>
      </c>
      <c r="H24" s="108">
        <f>AVERAGE(E24:G24)</f>
        <v>0.07497618115</v>
      </c>
      <c r="I24" s="107">
        <f t="shared" ref="I24:K24" si="11">H24</f>
        <v>0.07497618115</v>
      </c>
      <c r="J24" s="107">
        <f t="shared" si="11"/>
        <v>0.07497618115</v>
      </c>
      <c r="K24" s="109">
        <f t="shared" si="11"/>
        <v>0.07497618115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3.75" customHeight="1">
      <c r="B25" s="22"/>
      <c r="G25" s="20"/>
      <c r="H25" s="80"/>
      <c r="K25" s="20"/>
    </row>
    <row r="26">
      <c r="B26" s="22"/>
      <c r="G26" s="20"/>
      <c r="H26" s="80"/>
      <c r="K26" s="20"/>
    </row>
    <row r="27">
      <c r="B27" s="63" t="s">
        <v>78</v>
      </c>
      <c r="C27" s="23">
        <f>IFERROR(__xludf.DUMMYFUNCTION("IFERROR(
  LET(
    x, UPPER(SUBSTITUTE(TRIM(Data!B380),CHAR(160),"""")),
    neg, IF(LEFT(x,1)=""("", -1, 1),
    numtext, REGEXEXTRACT(x,""[0-9.,]+""),
    base, VALUE(SUBSTITUTE(numtext,"","","""")),
    mult, IF(REGEXMATCH(x,""B""),1000000000, IF(REGE"&amp;"XMATCH(x,""M""),1000000, 1)),
    neg * base * mult
  ),
  0
)
"),-4.45E9)</f>
        <v>-4450000000</v>
      </c>
      <c r="D27" s="23">
        <f>IFERROR(__xludf.DUMMYFUNCTION("IFERROR(
  LET(
    x, UPPER(SUBSTITUTE(TRIM(Data!C380),CHAR(160),"""")),
    neg, IF(LEFT(x,1)=""("", -1, 1),
    numtext, REGEXEXTRACT(x,""[0-9.,]+""),
    base, VALUE(SUBSTITUTE(numtext,"","","""")),
    mult, IF(REGEXMATCH(x,""B""),1000000000, IF(REGE"&amp;"XMATCH(x,""M""),1000000, 1)),
    neg * base * mult
  ),
  0
)
"),-4.39E9)</f>
        <v>-4390000000</v>
      </c>
      <c r="E27" s="23">
        <f>IFERROR(__xludf.DUMMYFUNCTION("IFERROR(
  LET(
    x, UPPER(SUBSTITUTE(TRIM(Data!D380),CHAR(160),"""")),
    neg, IF(LEFT(x,1)=""("", -1, 1),
    numtext, REGEXEXTRACT(x,""[0-9.,]+""),
    base, VALUE(SUBSTITUTE(numtext,"","","""")),
    mult, IF(REGEXMATCH(x,""B""),1000000000, IF(REGE"&amp;"XMATCH(x,""M""),1000000, 1)),
    neg * base * mult
  ),
  0
)
"),-3.86E9)</f>
        <v>-3860000000</v>
      </c>
      <c r="F27" s="23">
        <f>IFERROR(__xludf.DUMMYFUNCTION("IFERROR(
  LET(
    x, UPPER(SUBSTITUTE(TRIM(Data!E380),CHAR(160),"""")),
    neg, IF(LEFT(x,1)=""("", -1, 1),
    numtext, REGEXEXTRACT(x,""[0-9.,]+""),
    base, VALUE(SUBSTITUTE(numtext,"","","""")),
    mult, IF(REGEXMATCH(x,""B""),1000000000, IF(REGE"&amp;"XMATCH(x,""M""),1000000, 1)),
    neg * base * mult
  ),
  0
)
"),-3.37E9)</f>
        <v>-3370000000</v>
      </c>
      <c r="G27" s="23">
        <f>IFERROR(__xludf.DUMMYFUNCTION("IFERROR(
  LET(
    x, UPPER(SUBSTITUTE(TRIM(Data!F380),CHAR(160),"""")),
    neg, IF(LEFT(x,1)=""("", -1, 1),
    numtext, REGEXEXTRACT(x,""[0-9.,]+""),
    base, VALUE(SUBSTITUTE(numtext,"","","""")),
    mult, IF(REGEXMATCH(x,""B""),1000000000, IF(REGE"&amp;"XMATCH(x,""M""),1000000, 1)),
    neg * base * mult
  ),
  0
)
"),-4.1100000000000005E9)</f>
        <v>-4110000000</v>
      </c>
      <c r="H27" s="110">
        <f t="shared" ref="H27:K27" si="12">H28*H8</f>
        <v>-4010866600</v>
      </c>
      <c r="I27" s="23">
        <f t="shared" si="12"/>
        <v>-4220793481</v>
      </c>
      <c r="J27" s="23">
        <f t="shared" si="12"/>
        <v>-4496284918</v>
      </c>
      <c r="K27" s="24">
        <f t="shared" si="12"/>
        <v>-4482450195</v>
      </c>
    </row>
    <row r="28">
      <c r="A28" s="34"/>
      <c r="B28" s="28" t="s">
        <v>73</v>
      </c>
      <c r="C28" s="107">
        <f t="shared" ref="C28:G28" si="13">C27/C8</f>
        <v>-0.09098343897</v>
      </c>
      <c r="D28" s="107">
        <f t="shared" si="13"/>
        <v>-0.07508123824</v>
      </c>
      <c r="E28" s="107">
        <f t="shared" si="13"/>
        <v>-0.06447302489</v>
      </c>
      <c r="F28" s="107">
        <f t="shared" si="13"/>
        <v>-0.05268094419</v>
      </c>
      <c r="G28" s="107">
        <f t="shared" si="13"/>
        <v>-0.06329893732</v>
      </c>
      <c r="H28" s="108">
        <f>AVERAGE(E28:G28)</f>
        <v>-0.0601509688</v>
      </c>
      <c r="I28" s="107">
        <f t="shared" ref="I28:K28" si="14">H28</f>
        <v>-0.0601509688</v>
      </c>
      <c r="J28" s="107">
        <f t="shared" si="14"/>
        <v>-0.0601509688</v>
      </c>
      <c r="K28" s="109">
        <f t="shared" si="14"/>
        <v>-0.0601509688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3.75" customHeight="1">
      <c r="B29" s="22"/>
      <c r="G29" s="20"/>
      <c r="H29" s="80"/>
      <c r="K29" s="20"/>
    </row>
    <row r="30">
      <c r="B30" s="22"/>
      <c r="G30" s="20"/>
      <c r="H30" s="110"/>
      <c r="I30" s="23"/>
      <c r="J30" s="23"/>
      <c r="K30" s="24"/>
    </row>
    <row r="31">
      <c r="B31" s="63" t="s">
        <v>79</v>
      </c>
      <c r="C31" s="23">
        <f>IFERROR(__xludf.DUMMYFUNCTION("IFERROR(
  LET(
    x, UPPER(SUBSTITUTE(TRIM(Data!B123),CHAR(160),"""")),
    neg, IF(LEFT(x,1)=""("", -1, 1),
    numtext, REGEXEXTRACT(x,""[0-9.,]+""),
    base, VALUE(SUBSTITUTE(numtext,"","","""")),
    mult, IF(REGEXMATCH(x,""B""),1000000000, IF(REGE"&amp;"XMATCH(x,""M""),1000000, 1)),
    neg * base * mult
  ),
  0
)
"),-3.84E9)</f>
        <v>-3840000000</v>
      </c>
      <c r="D31" s="23">
        <f>IFERROR(__xludf.DUMMYFUNCTION("IFERROR(
  LET(
    x, UPPER(SUBSTITUTE(TRIM(Data!C123),CHAR(160),"""")),
    neg, IF(LEFT(x,1)=""("", -1, 1),
    numtext, REGEXEXTRACT(x,""[0-9.,]+""),
    base, VALUE(SUBSTITUTE(numtext,"","","""")),
    mult, IF(REGEXMATCH(x,""B""),1000000000, IF(REGE"&amp;"XMATCH(x,""M""),1000000, 1)),
    neg * base * mult
  ),
  0
)
"),-2.78E9)</f>
        <v>-2780000000</v>
      </c>
      <c r="E31" s="23">
        <f>IFERROR(__xludf.DUMMYFUNCTION("IFERROR(
  LET(
    x, UPPER(SUBSTITUTE(TRIM(Data!D123),CHAR(160),"""")),
    neg, IF(LEFT(x,1)=""("", -1, 1),
    numtext, REGEXEXTRACT(x,""[0-9.,]+""),
    base, VALUE(SUBSTITUTE(numtext,"","","""")),
    mult, IF(REGEXMATCH(x,""B""),1000000000, IF(REGE"&amp;"XMATCH(x,""M""),1000000, 1)),
    neg * base * mult
  ),
  0
)
"),-2.21E9)</f>
        <v>-2210000000</v>
      </c>
      <c r="F31" s="23">
        <f>IFERROR(__xludf.DUMMYFUNCTION("IFERROR(
  LET(
    x, UPPER(SUBSTITUTE(TRIM(Data!E123),CHAR(160),"""")),
    neg, IF(LEFT(x,1)=""("", -1, 1),
    numtext, REGEXEXTRACT(x,""[0-9.,]+""),
    base, VALUE(SUBSTITUTE(numtext,"","","""")),
    mult, IF(REGEXMATCH(x,""B""),1000000000, IF(REGE"&amp;"XMATCH(x,""M""),1000000, 1)),
    neg * base * mult
  ),
  0
)
"),-3.67E9)</f>
        <v>-3670000000</v>
      </c>
      <c r="G31" s="23">
        <f>IFERROR(__xludf.DUMMYFUNCTION("IFERROR(
  LET(
    x, UPPER(SUBSTITUTE(TRIM(Data!F123),CHAR(160),"""")),
    neg, IF(LEFT(x,1)=""("", -1, 1),
    numtext, REGEXEXTRACT(x,""[0-9.,]+""),
    base, VALUE(SUBSTITUTE(numtext,"","","""")),
    mult, IF(REGEXMATCH(x,""B""),1000000000, IF(REGE"&amp;"XMATCH(x,""M""),1000000, 1)),
    neg * base * mult
  ),
  0
)
"),-6.98E9)</f>
        <v>-6980000000</v>
      </c>
      <c r="H31" s="110">
        <f t="shared" ref="H31:K31" si="15">H32*H8</f>
        <v>-4484993257</v>
      </c>
      <c r="I31" s="23">
        <f t="shared" si="15"/>
        <v>-4719735705</v>
      </c>
      <c r="J31" s="23">
        <f t="shared" si="15"/>
        <v>-5027793131</v>
      </c>
      <c r="K31" s="24">
        <f t="shared" si="15"/>
        <v>-5012322998</v>
      </c>
    </row>
    <row r="32">
      <c r="A32" s="34"/>
      <c r="B32" s="28" t="s">
        <v>73</v>
      </c>
      <c r="C32" s="107">
        <f t="shared" ref="C32:G32" si="16">C31/C8</f>
        <v>-0.07851155183</v>
      </c>
      <c r="D32" s="107">
        <f t="shared" si="16"/>
        <v>-0.04754574996</v>
      </c>
      <c r="E32" s="107">
        <f t="shared" si="16"/>
        <v>-0.03691331218</v>
      </c>
      <c r="F32" s="107">
        <f t="shared" si="16"/>
        <v>-0.05737064249</v>
      </c>
      <c r="G32" s="107">
        <f t="shared" si="16"/>
        <v>-0.107500385</v>
      </c>
      <c r="H32" s="108">
        <f>AVERAGE(E32:G32)</f>
        <v>-0.06726144657</v>
      </c>
      <c r="I32" s="107">
        <f t="shared" ref="I32:K32" si="17">H32</f>
        <v>-0.06726144657</v>
      </c>
      <c r="J32" s="107">
        <f t="shared" si="17"/>
        <v>-0.06726144657</v>
      </c>
      <c r="K32" s="109">
        <f t="shared" si="17"/>
        <v>-0.06726144657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3.75" customHeight="1">
      <c r="B33" s="22"/>
      <c r="G33" s="20"/>
      <c r="H33" s="80"/>
      <c r="K33" s="20"/>
    </row>
    <row r="34">
      <c r="B34" s="22"/>
      <c r="G34" s="20"/>
      <c r="H34" s="80"/>
      <c r="K34" s="20"/>
    </row>
    <row r="35">
      <c r="B35" s="63" t="s">
        <v>80</v>
      </c>
      <c r="C35" s="73" t="str">
        <f t="shared" ref="C35:G35" si="18">C20</f>
        <v>-</v>
      </c>
      <c r="D35" s="73" t="str">
        <f t="shared" si="18"/>
        <v>-</v>
      </c>
      <c r="E35" s="73" t="str">
        <f t="shared" si="18"/>
        <v>-</v>
      </c>
      <c r="F35" s="73" t="str">
        <f t="shared" si="18"/>
        <v>-</v>
      </c>
      <c r="G35" s="73" t="str">
        <f t="shared" si="18"/>
        <v>-</v>
      </c>
      <c r="H35" s="110">
        <f t="shared" ref="H35:K35" si="19">H20+H23-H27-H31</f>
        <v>23225525486</v>
      </c>
      <c r="I35" s="23">
        <f t="shared" si="19"/>
        <v>24441138623</v>
      </c>
      <c r="J35" s="23">
        <f t="shared" si="19"/>
        <v>26036413169</v>
      </c>
      <c r="K35" s="24">
        <f t="shared" si="19"/>
        <v>25956301128</v>
      </c>
    </row>
    <row r="36" ht="3.75" customHeight="1">
      <c r="B36" s="19"/>
      <c r="H36" s="80"/>
      <c r="K36" s="20"/>
    </row>
    <row r="37">
      <c r="B37" s="19"/>
      <c r="H37" s="80"/>
      <c r="K37" s="20"/>
    </row>
    <row r="38">
      <c r="B38" s="22" t="s">
        <v>81</v>
      </c>
      <c r="H38" s="80"/>
      <c r="K38" s="20"/>
    </row>
    <row r="39">
      <c r="B39" s="22" t="s">
        <v>82</v>
      </c>
      <c r="C39" s="21" t="s">
        <v>19</v>
      </c>
      <c r="D39" s="21" t="s">
        <v>19</v>
      </c>
      <c r="E39" s="21" t="s">
        <v>19</v>
      </c>
      <c r="F39" s="21" t="s">
        <v>19</v>
      </c>
      <c r="G39" s="21" t="s">
        <v>19</v>
      </c>
      <c r="H39" s="83"/>
      <c r="K39" s="113"/>
    </row>
    <row r="40">
      <c r="B40" s="22" t="s">
        <v>83</v>
      </c>
      <c r="C40" s="21" t="s">
        <v>19</v>
      </c>
      <c r="D40" s="21" t="s">
        <v>19</v>
      </c>
      <c r="E40" s="21" t="s">
        <v>19</v>
      </c>
      <c r="F40" s="21" t="s">
        <v>19</v>
      </c>
      <c r="G40" s="21" t="s">
        <v>19</v>
      </c>
      <c r="H40" s="114"/>
      <c r="I40" s="115"/>
      <c r="J40" s="115"/>
      <c r="K40" s="116"/>
    </row>
    <row r="41" ht="3.75" customHeight="1">
      <c r="B41" s="19"/>
      <c r="H41" s="80"/>
      <c r="K41" s="20"/>
    </row>
    <row r="42">
      <c r="B42" s="19"/>
      <c r="H42" s="80"/>
      <c r="K42" s="20"/>
    </row>
    <row r="43">
      <c r="B43" s="22" t="s">
        <v>84</v>
      </c>
      <c r="C43" s="117" t="s">
        <v>19</v>
      </c>
      <c r="D43" s="117" t="s">
        <v>19</v>
      </c>
      <c r="E43" s="117" t="s">
        <v>19</v>
      </c>
      <c r="F43" s="117" t="s">
        <v>19</v>
      </c>
      <c r="G43" s="117" t="s">
        <v>19</v>
      </c>
      <c r="H43" s="110">
        <f>H35/(1+$C$66)^1</f>
        <v>21670561742</v>
      </c>
      <c r="I43" s="118">
        <f>I35/(1+$C$66)^2</f>
        <v>21277993649</v>
      </c>
      <c r="J43" s="23">
        <f>J35/(1+$C$66)^3</f>
        <v>21149252183</v>
      </c>
      <c r="K43" s="24">
        <f>K35/(1+$C$66)^4</f>
        <v>19672578426</v>
      </c>
    </row>
    <row r="44" ht="3.75" customHeight="1">
      <c r="B44" s="98"/>
      <c r="H44" s="98"/>
      <c r="J44" s="98"/>
      <c r="K44" s="98"/>
    </row>
    <row r="46">
      <c r="B46" s="119" t="s">
        <v>85</v>
      </c>
      <c r="C46" s="120"/>
    </row>
    <row r="47" ht="3.75" customHeight="1">
      <c r="B47" s="19"/>
      <c r="C47" s="20"/>
    </row>
    <row r="48">
      <c r="B48" s="19"/>
      <c r="C48" s="20"/>
    </row>
    <row r="49">
      <c r="B49" s="121" t="s">
        <v>86</v>
      </c>
      <c r="C49" s="106">
        <f>IFERROR(__xludf.DUMMYFUNCTION("GOOGLEFINANCE('Income Statement'!D1,""marketcap"")"),3.09641841663E11)</f>
        <v>309641841663</v>
      </c>
    </row>
    <row r="50">
      <c r="B50" s="121" t="s">
        <v>87</v>
      </c>
      <c r="C50" s="122">
        <f>C49/C63</f>
        <v>0.8666356338</v>
      </c>
    </row>
    <row r="51">
      <c r="B51" s="121" t="s">
        <v>88</v>
      </c>
      <c r="C51" s="91">
        <f>C52+(C53*C54)</f>
        <v>0.0789822</v>
      </c>
    </row>
    <row r="52">
      <c r="B52" s="121" t="s">
        <v>89</v>
      </c>
      <c r="C52" s="91">
        <f>Data!A399</f>
        <v>0.04469</v>
      </c>
      <c r="F52" s="37"/>
    </row>
    <row r="53">
      <c r="B53" s="121" t="s">
        <v>90</v>
      </c>
      <c r="C53" s="123">
        <f>Data!C315</f>
        <v>0.62</v>
      </c>
    </row>
    <row r="54">
      <c r="B54" s="124" t="s">
        <v>91</v>
      </c>
      <c r="C54" s="125">
        <f>10%-C52</f>
        <v>0.05531</v>
      </c>
    </row>
    <row r="55" ht="3.75" customHeight="1">
      <c r="B55" s="19"/>
      <c r="C55" s="20"/>
    </row>
    <row r="56">
      <c r="B56" s="19"/>
      <c r="C56" s="20"/>
    </row>
    <row r="57">
      <c r="B57" s="22" t="s">
        <v>92</v>
      </c>
      <c r="C57" s="24">
        <f>IFERROR(__xludf.DUMMYFUNCTION("IFERROR(
  LET(
    x, UPPER(SUBSTITUTE(TRIM(Data!F344),CHAR(160),"""")),
    neg, IF(LEFT(x,1)=""("", -1, 1),
    numtext, REGEXEXTRACT(x,""[0-9.,]+""),
    base, VALUE(SUBSTITUTE(numtext,"","","""")),
    mult, IF(REGEXMATCH(x,""B""),1000000000, IF(REGE"&amp;"XMATCH(x,""M""),1000000, 1)),
    neg * base * mult
  ),
  0
)
"),4.765E10)</f>
        <v>47650000000</v>
      </c>
    </row>
    <row r="58">
      <c r="B58" s="22" t="s">
        <v>93</v>
      </c>
      <c r="C58" s="91">
        <f>C57/C63</f>
        <v>0.1333643662</v>
      </c>
    </row>
    <row r="59">
      <c r="B59" s="22" t="s">
        <v>94</v>
      </c>
      <c r="C59" s="91">
        <f>IFERROR(__xludf.DUMMYFUNCTION("((IFERROR(
  LET(
    x, UPPER(SUBSTITUTE(TRIM(Data!F26),CHAR(160),"""")),
    neg, IF(LEFT(x,1)=""("", -1, 1),
    numtext, REGEXEXTRACT(x,""[0-9.,]+""),
    base, VALUE(SUBSTITUTE(numtext,"","","""")),
    mult, IF(REGEXMATCH(x,""B""),1000000000, IF(REG"&amp;"EXMATCH(x,""M""),1000000, 1)),
    neg * base * mult
  ),
  0
))/C57)*(1-C60)"),0.02478824763903463)</f>
        <v>0.02478824764</v>
      </c>
    </row>
    <row r="60">
      <c r="B60" s="22" t="s">
        <v>95</v>
      </c>
      <c r="C60" s="91">
        <f>Data!D320</f>
        <v>0.1315</v>
      </c>
    </row>
    <row r="61" ht="3.75" customHeight="1">
      <c r="B61" s="19"/>
      <c r="C61" s="20"/>
    </row>
    <row r="62">
      <c r="B62" s="19"/>
      <c r="C62" s="20"/>
    </row>
    <row r="63">
      <c r="B63" s="22" t="s">
        <v>96</v>
      </c>
      <c r="C63" s="24">
        <f>C57+C49</f>
        <v>357291841663</v>
      </c>
    </row>
    <row r="64" ht="3.75" customHeight="1">
      <c r="B64" s="19"/>
      <c r="C64" s="20"/>
    </row>
    <row r="65">
      <c r="B65" s="63"/>
      <c r="C65" s="20"/>
    </row>
    <row r="66">
      <c r="B66" s="126" t="s">
        <v>85</v>
      </c>
      <c r="C66" s="127">
        <f>(C50*C51)+(C58*C59)</f>
        <v>0.07175465789</v>
      </c>
    </row>
    <row r="68">
      <c r="B68" s="128" t="s">
        <v>97</v>
      </c>
      <c r="C68" s="15"/>
    </row>
    <row r="69" ht="3.75" customHeight="1">
      <c r="B69" s="129"/>
      <c r="C69" s="130"/>
      <c r="F69" s="74"/>
      <c r="G69" s="74"/>
    </row>
    <row r="70">
      <c r="B70" s="22"/>
      <c r="C70" s="20"/>
      <c r="F70" s="74"/>
      <c r="G70" s="74"/>
    </row>
    <row r="71">
      <c r="B71" s="22" t="s">
        <v>98</v>
      </c>
      <c r="C71" s="122">
        <v>0.02</v>
      </c>
      <c r="F71" s="74"/>
      <c r="G71" s="74"/>
    </row>
    <row r="72">
      <c r="B72" s="22" t="s">
        <v>99</v>
      </c>
      <c r="C72" s="24">
        <f>(K35*(1+C71))/(C66-C71)</f>
        <v>511556413055</v>
      </c>
      <c r="F72" s="74"/>
    </row>
    <row r="73">
      <c r="B73" s="22" t="s">
        <v>100</v>
      </c>
      <c r="C73" s="131">
        <f>C72/((1+C66)^4)</f>
        <v>387714474618</v>
      </c>
    </row>
    <row r="74">
      <c r="B74" s="132" t="s">
        <v>101</v>
      </c>
      <c r="C74" s="133">
        <f>SUM(H43,C73)</f>
        <v>409385036360</v>
      </c>
    </row>
    <row r="75">
      <c r="B75" s="37"/>
    </row>
    <row r="77">
      <c r="B77" s="128" t="s">
        <v>102</v>
      </c>
      <c r="C77" s="15"/>
    </row>
    <row r="78">
      <c r="B78" s="129" t="s">
        <v>101</v>
      </c>
      <c r="C78" s="134">
        <f>C74</f>
        <v>409385036360</v>
      </c>
    </row>
    <row r="79">
      <c r="B79" s="22" t="s">
        <v>103</v>
      </c>
      <c r="C79" s="24">
        <f>IFERROR(__xludf.DUMMYFUNCTION("IFERROR(
  LET(
    x, UPPER(SUBSTITUTE(TRIM(Data!F69),CHAR(160),"""")),
    neg, IF(LEFT(x,1)=""("", -1, 1),
    numtext, REGEXEXTRACT(x,""[0-9.,]+""),
    base, VALUE(SUBSTITUTE(numtext,"","","""")),
    mult, IF(REGEXMATCH(x,""B""),1000000000, IF(REGEX"&amp;"MATCH(x,""M""),1000000, 1)),
    neg * base * mult
  ),
  0
)
"),1.469E10)</f>
        <v>14690000000</v>
      </c>
    </row>
    <row r="80">
      <c r="B80" s="22" t="s">
        <v>92</v>
      </c>
      <c r="C80" s="24">
        <f>C57</f>
        <v>47650000000</v>
      </c>
    </row>
    <row r="81">
      <c r="B81" s="38" t="s">
        <v>86</v>
      </c>
      <c r="C81" s="97">
        <f>C78+C79-C80</f>
        <v>376425036360</v>
      </c>
    </row>
    <row r="82" ht="3.75" customHeight="1">
      <c r="B82" s="19"/>
      <c r="C82" s="20"/>
    </row>
    <row r="83">
      <c r="B83" s="19"/>
      <c r="C83" s="20"/>
    </row>
    <row r="84">
      <c r="B84" s="22" t="s">
        <v>104</v>
      </c>
      <c r="C84" s="24">
        <f>IFERROR(__xludf.DUMMYFUNCTION("IFERROR(
  LET(
    x, UPPER(SUBSTITUTE(TRIM(Data!F58),CHAR(160),"""")),
    neg, IF(LEFT(x,1)=""("", -1, 1),
    numtext, REGEXEXTRACT(x,""[0-9.,]+""),
    base, VALUE(SUBSTITUTE(numtext,"","","""")),
    mult, IF(REGEXMATCH(x,""B""),1000000000, IF(REGEX"&amp;"MATCH(x,""M""),1000000, 1)),
    neg * base * mult
  ),
  0
)
"),2.51E9)</f>
        <v>2510000000</v>
      </c>
    </row>
    <row r="85">
      <c r="B85" s="132" t="s">
        <v>102</v>
      </c>
      <c r="C85" s="135">
        <f>C81/C84</f>
        <v>149.970134</v>
      </c>
    </row>
    <row r="86">
      <c r="D86" s="21" t="s">
        <v>105</v>
      </c>
    </row>
    <row r="89">
      <c r="B89" s="21"/>
      <c r="C89" s="136"/>
      <c r="D89" s="136"/>
      <c r="E89" s="137"/>
      <c r="F89" s="136"/>
      <c r="G89" s="136"/>
    </row>
    <row r="90">
      <c r="B90" s="136"/>
      <c r="C90" s="138"/>
      <c r="D90" s="138"/>
      <c r="E90" s="138"/>
      <c r="F90" s="138"/>
      <c r="G90" s="138"/>
    </row>
    <row r="91">
      <c r="B91" s="136"/>
      <c r="C91" s="138"/>
      <c r="D91" s="138"/>
      <c r="E91" s="138"/>
      <c r="F91" s="138"/>
      <c r="G91" s="138"/>
    </row>
    <row r="92">
      <c r="B92" s="139"/>
      <c r="C92" s="138"/>
      <c r="D92" s="138"/>
      <c r="E92" s="138"/>
      <c r="F92" s="138"/>
      <c r="G92" s="138"/>
    </row>
    <row r="93">
      <c r="B93" s="136"/>
      <c r="C93" s="138"/>
      <c r="D93" s="138"/>
      <c r="E93" s="138"/>
      <c r="F93" s="138"/>
      <c r="G93" s="138"/>
    </row>
    <row r="94">
      <c r="B94" s="136"/>
      <c r="C94" s="138"/>
      <c r="D94" s="138"/>
      <c r="E94" s="138"/>
      <c r="F94" s="138"/>
      <c r="G94" s="138"/>
    </row>
  </sheetData>
  <mergeCells count="8">
    <mergeCell ref="G2:H2"/>
    <mergeCell ref="B4:B5"/>
    <mergeCell ref="C4:G4"/>
    <mergeCell ref="H4:K4"/>
    <mergeCell ref="B46:C46"/>
    <mergeCell ref="B68:C68"/>
    <mergeCell ref="F72:G72"/>
    <mergeCell ref="B77:C77"/>
  </mergeCells>
  <hyperlinks>
    <hyperlink r:id="rId4" ref="G2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3.75"/>
    <col customWidth="1" min="3" max="7" width="12.63"/>
    <col customWidth="1" min="8" max="12" width="25.13"/>
  </cols>
  <sheetData>
    <row r="1" ht="61.5" customHeight="1">
      <c r="D1" s="140"/>
    </row>
    <row r="3" ht="15.75" customHeight="1"/>
    <row r="4" ht="15.75" customHeight="1">
      <c r="A4" s="21" t="str">
        <f>IFERROR(__xludf.DUMMYFUNCTION("IMPORTHTML(CONCAT(CONCAT(""https://www.marketwatch.com/investing/stock/"",'Income Statement'!D1),""/financials?mod=mw_quote_tab""),""table"",4)
"),"Item
Item")</f>
        <v>Item
Item</v>
      </c>
      <c r="B4" s="73">
        <f>IFERROR(__xludf.DUMMYFUNCTION("""COMPUTED_VALUE"""),2021.0)</f>
        <v>2021</v>
      </c>
      <c r="C4" s="73">
        <f>IFERROR(__xludf.DUMMYFUNCTION("""COMPUTED_VALUE"""),2022.0)</f>
        <v>2022</v>
      </c>
      <c r="D4" s="73">
        <f>IFERROR(__xludf.DUMMYFUNCTION("""COMPUTED_VALUE"""),2023.0)</f>
        <v>2023</v>
      </c>
      <c r="E4" s="73">
        <f>IFERROR(__xludf.DUMMYFUNCTION("""COMPUTED_VALUE"""),2024.0)</f>
        <v>2024</v>
      </c>
      <c r="F4" s="73">
        <f>IFERROR(__xludf.DUMMYFUNCTION("""COMPUTED_VALUE"""),2025.0)</f>
        <v>2025</v>
      </c>
      <c r="G4" s="73" t="str">
        <f>IFERROR(__xludf.DUMMYFUNCTION("""COMPUTED_VALUE"""),"5-year trend")</f>
        <v>5-year trend</v>
      </c>
    </row>
    <row r="5" ht="15.75" customHeight="1">
      <c r="A5" s="141" t="str">
        <f>IFERROR(__xludf.DUMMYFUNCTION("""COMPUTED_VALUE"""),"Sales/Revenue
Sales/Revenue")</f>
        <v>Sales/Revenue
Sales/Revenue</v>
      </c>
      <c r="B5" s="73" t="str">
        <f>IFERROR(__xludf.DUMMYFUNCTION("""COMPUTED_VALUE"""),"48.91B")</f>
        <v>48.91B</v>
      </c>
      <c r="C5" s="73" t="str">
        <f>IFERROR(__xludf.DUMMYFUNCTION("""COMPUTED_VALUE"""),"58.47B")</f>
        <v>58.47B</v>
      </c>
      <c r="D5" s="73" t="str">
        <f>IFERROR(__xludf.DUMMYFUNCTION("""COMPUTED_VALUE"""),"59.87B")</f>
        <v>59.87B</v>
      </c>
      <c r="E5" s="73" t="str">
        <f>IFERROR(__xludf.DUMMYFUNCTION("""COMPUTED_VALUE"""),"63.97B")</f>
        <v>63.97B</v>
      </c>
      <c r="F5" s="73" t="str">
        <f>IFERROR(__xludf.DUMMYFUNCTION("""COMPUTED_VALUE"""),"64.93B")</f>
        <v>64.93B</v>
      </c>
      <c r="G5" s="73"/>
    </row>
    <row r="6" ht="15.75" customHeight="1">
      <c r="A6" s="141" t="str">
        <f>IFERROR(__xludf.DUMMYFUNCTION("""COMPUTED_VALUE"""),"Sales Growth
Sales Growth")</f>
        <v>Sales Growth
Sales Growth</v>
      </c>
      <c r="B6" s="73" t="str">
        <f>IFERROR(__xludf.DUMMYFUNCTION("""COMPUTED_VALUE"""),"-")</f>
        <v>-</v>
      </c>
      <c r="C6" s="72">
        <f>IFERROR(__xludf.DUMMYFUNCTION("""COMPUTED_VALUE"""),0.1956)</f>
        <v>0.1956</v>
      </c>
      <c r="D6" s="72">
        <f>IFERROR(__xludf.DUMMYFUNCTION("""COMPUTED_VALUE"""),0.0239)</f>
        <v>0.0239</v>
      </c>
      <c r="E6" s="72">
        <f>IFERROR(__xludf.DUMMYFUNCTION("""COMPUTED_VALUE"""),0.0685)</f>
        <v>0.0685</v>
      </c>
      <c r="F6" s="72">
        <f>IFERROR(__xludf.DUMMYFUNCTION("""COMPUTED_VALUE"""),0.0149)</f>
        <v>0.0149</v>
      </c>
      <c r="G6" s="73"/>
    </row>
    <row r="7">
      <c r="A7" s="141" t="str">
        <f>IFERROR(__xludf.DUMMYFUNCTION("""COMPUTED_VALUE"""),"Cost of Goods Sold (COGS) incl. D&amp;A
Cost of Goods Sold (COGS) incl. D&amp;A")</f>
        <v>Cost of Goods Sold (COGS) incl. D&amp;A
Cost of Goods Sold (COGS) incl. D&amp;A</v>
      </c>
      <c r="B7" s="73" t="str">
        <f>IFERROR(__xludf.DUMMYFUNCTION("""COMPUTED_VALUE"""),"13.47B")</f>
        <v>13.47B</v>
      </c>
      <c r="C7" s="73" t="str">
        <f>IFERROR(__xludf.DUMMYFUNCTION("""COMPUTED_VALUE"""),"17.21B")</f>
        <v>17.21B</v>
      </c>
      <c r="D7" s="73" t="str">
        <f>IFERROR(__xludf.DUMMYFUNCTION("""COMPUTED_VALUE"""),"15.98B")</f>
        <v>15.98B</v>
      </c>
      <c r="E7" s="73" t="str">
        <f>IFERROR(__xludf.DUMMYFUNCTION("""COMPUTED_VALUE"""),"16.8B")</f>
        <v>16.8B</v>
      </c>
      <c r="F7" s="73" t="str">
        <f>IFERROR(__xludf.DUMMYFUNCTION("""COMPUTED_VALUE"""),"18.2B")</f>
        <v>18.2B</v>
      </c>
      <c r="G7" s="73"/>
    </row>
    <row r="8" ht="37.5" customHeight="1">
      <c r="A8" s="142" t="str">
        <f>IFERROR(__xludf.DUMMYFUNCTION("""COMPUTED_VALUE"""),"COGS Growth
COGS Growth")</f>
        <v>COGS Growth
COGS Growth</v>
      </c>
      <c r="B8" s="73" t="str">
        <f>IFERROR(__xludf.DUMMYFUNCTION("""COMPUTED_VALUE"""),"-")</f>
        <v>-</v>
      </c>
      <c r="C8" s="72">
        <f>IFERROR(__xludf.DUMMYFUNCTION("""COMPUTED_VALUE"""),0.2777)</f>
        <v>0.2777</v>
      </c>
      <c r="D8" s="72">
        <f>IFERROR(__xludf.DUMMYFUNCTION("""COMPUTED_VALUE"""),-0.0714)</f>
        <v>-0.0714</v>
      </c>
      <c r="E8" s="72">
        <f>IFERROR(__xludf.DUMMYFUNCTION("""COMPUTED_VALUE"""),0.0516)</f>
        <v>0.0516</v>
      </c>
      <c r="F8" s="72">
        <f>IFERROR(__xludf.DUMMYFUNCTION("""COMPUTED_VALUE"""),0.0829)</f>
        <v>0.0829</v>
      </c>
      <c r="G8" s="73"/>
    </row>
    <row r="9">
      <c r="A9" s="142" t="str">
        <f>IFERROR(__xludf.DUMMYFUNCTION("""COMPUTED_VALUE"""),"COGS excluding D&amp;A
COGS excluding D&amp;A")</f>
        <v>COGS excluding D&amp;A
COGS excluding D&amp;A</v>
      </c>
      <c r="B9" s="73" t="str">
        <f>IFERROR(__xludf.DUMMYFUNCTION("""COMPUTED_VALUE"""),"10.25B")</f>
        <v>10.25B</v>
      </c>
      <c r="C9" s="73" t="str">
        <f>IFERROR(__xludf.DUMMYFUNCTION("""COMPUTED_VALUE"""),"13.3B")</f>
        <v>13.3B</v>
      </c>
      <c r="D9" s="73" t="str">
        <f>IFERROR(__xludf.DUMMYFUNCTION("""COMPUTED_VALUE"""),"12.11B")</f>
        <v>12.11B</v>
      </c>
      <c r="E9" s="73" t="str">
        <f>IFERROR(__xludf.DUMMYFUNCTION("""COMPUTED_VALUE"""),"12.3B")</f>
        <v>12.3B</v>
      </c>
      <c r="F9" s="73" t="str">
        <f>IFERROR(__xludf.DUMMYFUNCTION("""COMPUTED_VALUE"""),"12.36B")</f>
        <v>12.36B</v>
      </c>
      <c r="G9" s="73"/>
    </row>
    <row r="10">
      <c r="A10" s="141" t="str">
        <f>IFERROR(__xludf.DUMMYFUNCTION("""COMPUTED_VALUE"""),"Depreciation &amp; Amortization Expense
Depreciation &amp; Amortization Expense")</f>
        <v>Depreciation &amp; Amortization Expense
Depreciation &amp; Amortization Expense</v>
      </c>
      <c r="B10" s="73" t="str">
        <f>IFERROR(__xludf.DUMMYFUNCTION("""COMPUTED_VALUE"""),"3.21B")</f>
        <v>3.21B</v>
      </c>
      <c r="C10" s="73" t="str">
        <f>IFERROR(__xludf.DUMMYFUNCTION("""COMPUTED_VALUE"""),"3.91B")</f>
        <v>3.91B</v>
      </c>
      <c r="D10" s="73" t="str">
        <f>IFERROR(__xludf.DUMMYFUNCTION("""COMPUTED_VALUE"""),"3.87B")</f>
        <v>3.87B</v>
      </c>
      <c r="E10" s="73" t="str">
        <f>IFERROR(__xludf.DUMMYFUNCTION("""COMPUTED_VALUE"""),"4.5B")</f>
        <v>4.5B</v>
      </c>
      <c r="F10" s="73" t="str">
        <f>IFERROR(__xludf.DUMMYFUNCTION("""COMPUTED_VALUE"""),"5.84B")</f>
        <v>5.84B</v>
      </c>
      <c r="G10" s="73"/>
    </row>
    <row r="11">
      <c r="A11" s="141" t="str">
        <f>IFERROR(__xludf.DUMMYFUNCTION("""COMPUTED_VALUE"""),"Depreciation
Depreciation")</f>
        <v>Depreciation
Depreciation</v>
      </c>
      <c r="B11" s="73" t="str">
        <f>IFERROR(__xludf.DUMMYFUNCTION("""COMPUTED_VALUE"""),"1.58B")</f>
        <v>1.58B</v>
      </c>
      <c r="C11" s="73" t="str">
        <f>IFERROR(__xludf.DUMMYFUNCTION("""COMPUTED_VALUE"""),"1.82B")</f>
        <v>1.82B</v>
      </c>
      <c r="D11" s="73" t="str">
        <f>IFERROR(__xludf.DUMMYFUNCTION("""COMPUTED_VALUE"""),"1.83B")</f>
        <v>1.83B</v>
      </c>
      <c r="E11" s="73" t="str">
        <f>IFERROR(__xludf.DUMMYFUNCTION("""COMPUTED_VALUE"""),"2.1B")</f>
        <v>2.1B</v>
      </c>
      <c r="F11" s="73" t="str">
        <f>IFERROR(__xludf.DUMMYFUNCTION("""COMPUTED_VALUE"""),"3.05B")</f>
        <v>3.05B</v>
      </c>
      <c r="G11" s="73"/>
    </row>
    <row r="12">
      <c r="A12" s="141" t="str">
        <f>IFERROR(__xludf.DUMMYFUNCTION("""COMPUTED_VALUE"""),"Amortization of Intangibles
Amortization of Intangibles")</f>
        <v>Amortization of Intangibles
Amortization of Intangibles</v>
      </c>
      <c r="B12" s="73" t="str">
        <f>IFERROR(__xludf.DUMMYFUNCTION("""COMPUTED_VALUE"""),"1.64B")</f>
        <v>1.64B</v>
      </c>
      <c r="C12" s="73" t="str">
        <f>IFERROR(__xludf.DUMMYFUNCTION("""COMPUTED_VALUE"""),"2.09B")</f>
        <v>2.09B</v>
      </c>
      <c r="D12" s="73" t="str">
        <f>IFERROR(__xludf.DUMMYFUNCTION("""COMPUTED_VALUE"""),"2.04B")</f>
        <v>2.04B</v>
      </c>
      <c r="E12" s="73" t="str">
        <f>IFERROR(__xludf.DUMMYFUNCTION("""COMPUTED_VALUE"""),"2.4B")</f>
        <v>2.4B</v>
      </c>
      <c r="F12" s="73" t="str">
        <f>IFERROR(__xludf.DUMMYFUNCTION("""COMPUTED_VALUE"""),"2.79B")</f>
        <v>2.79B</v>
      </c>
      <c r="G12" s="73"/>
    </row>
    <row r="13">
      <c r="A13" s="141" t="str">
        <f>IFERROR(__xludf.DUMMYFUNCTION("""COMPUTED_VALUE"""),"Gross Income
Gross Income")</f>
        <v>Gross Income
Gross Income</v>
      </c>
      <c r="B13" s="73" t="str">
        <f>IFERROR(__xludf.DUMMYFUNCTION("""COMPUTED_VALUE"""),"35.44B")</f>
        <v>35.44B</v>
      </c>
      <c r="C13" s="73" t="str">
        <f>IFERROR(__xludf.DUMMYFUNCTION("""COMPUTED_VALUE"""),"41.27B")</f>
        <v>41.27B</v>
      </c>
      <c r="D13" s="73" t="str">
        <f>IFERROR(__xludf.DUMMYFUNCTION("""COMPUTED_VALUE"""),"43.89B")</f>
        <v>43.89B</v>
      </c>
      <c r="E13" s="73" t="str">
        <f>IFERROR(__xludf.DUMMYFUNCTION("""COMPUTED_VALUE"""),"47.17B")</f>
        <v>47.17B</v>
      </c>
      <c r="F13" s="73" t="str">
        <f>IFERROR(__xludf.DUMMYFUNCTION("""COMPUTED_VALUE"""),"46.73B")</f>
        <v>46.73B</v>
      </c>
      <c r="G13" s="73"/>
    </row>
    <row r="14">
      <c r="A14" s="141" t="str">
        <f>IFERROR(__xludf.DUMMYFUNCTION("""COMPUTED_VALUE"""),"Gross Income Growth
Gross Income Growth")</f>
        <v>Gross Income Growth
Gross Income Growth</v>
      </c>
      <c r="B14" s="73" t="str">
        <f>IFERROR(__xludf.DUMMYFUNCTION("""COMPUTED_VALUE"""),"-")</f>
        <v>-</v>
      </c>
      <c r="C14" s="72">
        <f>IFERROR(__xludf.DUMMYFUNCTION("""COMPUTED_VALUE"""),0.1644)</f>
        <v>0.1644</v>
      </c>
      <c r="D14" s="72">
        <f>IFERROR(__xludf.DUMMYFUNCTION("""COMPUTED_VALUE"""),0.0637)</f>
        <v>0.0637</v>
      </c>
      <c r="E14" s="72">
        <f>IFERROR(__xludf.DUMMYFUNCTION("""COMPUTED_VALUE"""),0.0747)</f>
        <v>0.0747</v>
      </c>
      <c r="F14" s="72">
        <f>IFERROR(__xludf.DUMMYFUNCTION("""COMPUTED_VALUE"""),-0.0093)</f>
        <v>-0.0093</v>
      </c>
      <c r="G14" s="73"/>
    </row>
    <row r="15">
      <c r="A15" s="73" t="str">
        <f>IFERROR(__xludf.DUMMYFUNCTION("""COMPUTED_VALUE"""),"Gross Profit Margin
Gross Profit Margin")</f>
        <v>Gross Profit Margin
Gross Profit Margin</v>
      </c>
      <c r="B15" s="73" t="str">
        <f>IFERROR(__xludf.DUMMYFUNCTION("""COMPUTED_VALUE"""),"-")</f>
        <v>-</v>
      </c>
      <c r="C15" s="73" t="str">
        <f>IFERROR(__xludf.DUMMYFUNCTION("""COMPUTED_VALUE"""),"-")</f>
        <v>-</v>
      </c>
      <c r="D15" s="73" t="str">
        <f>IFERROR(__xludf.DUMMYFUNCTION("""COMPUTED_VALUE"""),"-")</f>
        <v>-</v>
      </c>
      <c r="E15" s="73" t="str">
        <f>IFERROR(__xludf.DUMMYFUNCTION("""COMPUTED_VALUE"""),"-")</f>
        <v>-</v>
      </c>
      <c r="F15" s="72">
        <f>IFERROR(__xludf.DUMMYFUNCTION("""COMPUTED_VALUE"""),0.7198)</f>
        <v>0.7198</v>
      </c>
      <c r="G15" s="73"/>
    </row>
    <row r="16">
      <c r="A16" s="141" t="str">
        <f>IFERROR(__xludf.DUMMYFUNCTION("""COMPUTED_VALUE"""),"SG&amp;A Expense
SG&amp;A Expense")</f>
        <v>SG&amp;A Expense
SG&amp;A Expense</v>
      </c>
      <c r="B16" s="73" t="str">
        <f>IFERROR(__xludf.DUMMYFUNCTION("""COMPUTED_VALUE"""),"19.82B")</f>
        <v>19.82B</v>
      </c>
      <c r="C16" s="73" t="str">
        <f>IFERROR(__xludf.DUMMYFUNCTION("""COMPUTED_VALUE"""),"21.77B")</f>
        <v>21.77B</v>
      </c>
      <c r="D16" s="73" t="str">
        <f>IFERROR(__xludf.DUMMYFUNCTION("""COMPUTED_VALUE"""),"40.91B")</f>
        <v>40.91B</v>
      </c>
      <c r="E16" s="73" t="str">
        <f>IFERROR(__xludf.DUMMYFUNCTION("""COMPUTED_VALUE"""),"26.53B")</f>
        <v>26.53B</v>
      </c>
      <c r="F16" s="73" t="str">
        <f>IFERROR(__xludf.DUMMYFUNCTION("""COMPUTED_VALUE"""),"23.25B")</f>
        <v>23.25B</v>
      </c>
      <c r="G16" s="73"/>
    </row>
    <row r="17">
      <c r="A17" s="141" t="str">
        <f>IFERROR(__xludf.DUMMYFUNCTION("""COMPUTED_VALUE"""),"SGA Growth
SGA Growth")</f>
        <v>SGA Growth
SGA Growth</v>
      </c>
      <c r="B17" s="73" t="str">
        <f>IFERROR(__xludf.DUMMYFUNCTION("""COMPUTED_VALUE"""),"-")</f>
        <v>-</v>
      </c>
      <c r="C17" s="72">
        <f>IFERROR(__xludf.DUMMYFUNCTION("""COMPUTED_VALUE"""),0.0981)</f>
        <v>0.0981</v>
      </c>
      <c r="D17" s="72">
        <f>IFERROR(__xludf.DUMMYFUNCTION("""COMPUTED_VALUE"""),0.8796)</f>
        <v>0.8796</v>
      </c>
      <c r="E17" s="72">
        <f>IFERROR(__xludf.DUMMYFUNCTION("""COMPUTED_VALUE"""),-0.3516)</f>
        <v>-0.3516</v>
      </c>
      <c r="F17" s="72">
        <f>IFERROR(__xludf.DUMMYFUNCTION("""COMPUTED_VALUE"""),-0.1237)</f>
        <v>-0.1237</v>
      </c>
      <c r="G17" s="73"/>
    </row>
    <row r="18">
      <c r="A18" s="141" t="str">
        <f>IFERROR(__xludf.DUMMYFUNCTION("""COMPUTED_VALUE"""),"Research &amp; Development
Research &amp; Development")</f>
        <v>Research &amp; Development
Research &amp; Development</v>
      </c>
      <c r="B18" s="73" t="str">
        <f>IFERROR(__xludf.DUMMYFUNCTION("""COMPUTED_VALUE"""),"10.21B")</f>
        <v>10.21B</v>
      </c>
      <c r="C18" s="73" t="str">
        <f>IFERROR(__xludf.DUMMYFUNCTION("""COMPUTED_VALUE"""),"11.82B")</f>
        <v>11.82B</v>
      </c>
      <c r="D18" s="73" t="str">
        <f>IFERROR(__xludf.DUMMYFUNCTION("""COMPUTED_VALUE"""),"30.53B")</f>
        <v>30.53B</v>
      </c>
      <c r="E18" s="73" t="str">
        <f>IFERROR(__xludf.DUMMYFUNCTION("""COMPUTED_VALUE"""),"15.79B")</f>
        <v>15.79B</v>
      </c>
      <c r="F18" s="73" t="str">
        <f>IFERROR(__xludf.DUMMYFUNCTION("""COMPUTED_VALUE"""),"12.51B")</f>
        <v>12.51B</v>
      </c>
      <c r="G18" s="73"/>
    </row>
    <row r="19">
      <c r="A19" s="141" t="str">
        <f>IFERROR(__xludf.DUMMYFUNCTION("""COMPUTED_VALUE"""),"Other SG&amp;A
Other SG&amp;A")</f>
        <v>Other SG&amp;A
Other SG&amp;A</v>
      </c>
      <c r="B19" s="73" t="str">
        <f>IFERROR(__xludf.DUMMYFUNCTION("""COMPUTED_VALUE"""),"9.62B")</f>
        <v>9.62B</v>
      </c>
      <c r="C19" s="73" t="str">
        <f>IFERROR(__xludf.DUMMYFUNCTION("""COMPUTED_VALUE"""),"9.95B")</f>
        <v>9.95B</v>
      </c>
      <c r="D19" s="73" t="str">
        <f>IFERROR(__xludf.DUMMYFUNCTION("""COMPUTED_VALUE"""),"10.38B")</f>
        <v>10.38B</v>
      </c>
      <c r="E19" s="73" t="str">
        <f>IFERROR(__xludf.DUMMYFUNCTION("""COMPUTED_VALUE"""),"10.73B")</f>
        <v>10.73B</v>
      </c>
      <c r="F19" s="73" t="str">
        <f>IFERROR(__xludf.DUMMYFUNCTION("""COMPUTED_VALUE"""),"10.73B")</f>
        <v>10.73B</v>
      </c>
      <c r="G19" s="73"/>
    </row>
    <row r="20">
      <c r="A20" s="141" t="str">
        <f>IFERROR(__xludf.DUMMYFUNCTION("""COMPUTED_VALUE"""),"Other Operating Expense
Other Operating Expense")</f>
        <v>Other Operating Expense
Other Operating Expense</v>
      </c>
      <c r="B20" s="73" t="str">
        <f>IFERROR(__xludf.DUMMYFUNCTION("""COMPUTED_VALUE"""),"-")</f>
        <v>-</v>
      </c>
      <c r="C20" s="73" t="str">
        <f>IFERROR(__xludf.DUMMYFUNCTION("""COMPUTED_VALUE"""),"-")</f>
        <v>-</v>
      </c>
      <c r="D20" s="73" t="str">
        <f>IFERROR(__xludf.DUMMYFUNCTION("""COMPUTED_VALUE"""),"-")</f>
        <v>-</v>
      </c>
      <c r="E20" s="73" t="str">
        <f>IFERROR(__xludf.DUMMYFUNCTION("""COMPUTED_VALUE"""),"-")</f>
        <v>-</v>
      </c>
      <c r="F20" s="73" t="str">
        <f>IFERROR(__xludf.DUMMYFUNCTION("""COMPUTED_VALUE"""),"-")</f>
        <v>-</v>
      </c>
      <c r="G20" s="73"/>
    </row>
    <row r="21">
      <c r="A21" s="141" t="str">
        <f>IFERROR(__xludf.DUMMYFUNCTION("""COMPUTED_VALUE"""),"Unusual Expense
Unusual Expense")</f>
        <v>Unusual Expense
Unusual Expense</v>
      </c>
      <c r="B21" s="73" t="str">
        <f>IFERROR(__xludf.DUMMYFUNCTION("""COMPUTED_VALUE"""),"3.16B")</f>
        <v>3.16B</v>
      </c>
      <c r="C21" s="73" t="str">
        <f>IFERROR(__xludf.DUMMYFUNCTION("""COMPUTED_VALUE"""),"2.27B")</f>
        <v>2.27B</v>
      </c>
      <c r="D21" s="73" t="str">
        <f>IFERROR(__xludf.DUMMYFUNCTION("""COMPUTED_VALUE"""),"1.03B")</f>
        <v>1.03B</v>
      </c>
      <c r="E21" s="73" t="str">
        <f>IFERROR(__xludf.DUMMYFUNCTION("""COMPUTED_VALUE"""),"1.18B")</f>
        <v>1.18B</v>
      </c>
      <c r="F21" s="73" t="str">
        <f>IFERROR(__xludf.DUMMYFUNCTION("""COMPUTED_VALUE"""),"1.7B")</f>
        <v>1.7B</v>
      </c>
      <c r="G21" s="73"/>
    </row>
    <row r="22">
      <c r="A22" s="141" t="str">
        <f>IFERROR(__xludf.DUMMYFUNCTION("""COMPUTED_VALUE"""),"EBIT after Unusual Expense
EBIT after Unusual Expense")</f>
        <v>EBIT after Unusual Expense
EBIT after Unusual Expense</v>
      </c>
      <c r="B22" s="73" t="str">
        <f>IFERROR(__xludf.DUMMYFUNCTION("""COMPUTED_VALUE"""),"12.46B")</f>
        <v>12.46B</v>
      </c>
      <c r="C22" s="73" t="str">
        <f>IFERROR(__xludf.DUMMYFUNCTION("""COMPUTED_VALUE"""),"17.23B")</f>
        <v>17.23B</v>
      </c>
      <c r="D22" s="73" t="str">
        <f>IFERROR(__xludf.DUMMYFUNCTION("""COMPUTED_VALUE"""),"1.95B")</f>
        <v>1.95B</v>
      </c>
      <c r="E22" s="73" t="str">
        <f>IFERROR(__xludf.DUMMYFUNCTION("""COMPUTED_VALUE"""),"19.47B")</f>
        <v>19.47B</v>
      </c>
      <c r="F22" s="73" t="str">
        <f>IFERROR(__xludf.DUMMYFUNCTION("""COMPUTED_VALUE"""),"21.78B")</f>
        <v>21.78B</v>
      </c>
      <c r="G22" s="73"/>
    </row>
    <row r="23">
      <c r="A23" s="73" t="str">
        <f>IFERROR(__xludf.DUMMYFUNCTION("""COMPUTED_VALUE"""),"Non Operating Income/Expense
Non Operating Income/Expense")</f>
        <v>Non Operating Income/Expense
Non Operating Income/Expense</v>
      </c>
      <c r="B23" s="73" t="str">
        <f>IFERROR(__xludf.DUMMYFUNCTION("""COMPUTED_VALUE"""),"249M")</f>
        <v>249M</v>
      </c>
      <c r="C23" s="73" t="str">
        <f>IFERROR(__xludf.DUMMYFUNCTION("""COMPUTED_VALUE"""),"1.44B")</f>
        <v>1.44B</v>
      </c>
      <c r="D23" s="73" t="str">
        <f>IFERROR(__xludf.DUMMYFUNCTION("""COMPUTED_VALUE"""),"823.5M")</f>
        <v>823.5M</v>
      </c>
      <c r="E23" s="73" t="str">
        <f>IFERROR(__xludf.DUMMYFUNCTION("""COMPUTED_VALUE"""),"1.36B")</f>
        <v>1.36B</v>
      </c>
      <c r="F23" s="73" t="str">
        <f>IFERROR(__xludf.DUMMYFUNCTION("""COMPUTED_VALUE"""),"354M")</f>
        <v>354M</v>
      </c>
      <c r="G23" s="73"/>
    </row>
    <row r="24">
      <c r="A24" s="73" t="str">
        <f>IFERROR(__xludf.DUMMYFUNCTION("""COMPUTED_VALUE"""),"Non-Operating Interest Income
Non-Operating Interest Income")</f>
        <v>Non-Operating Interest Income
Non-Operating Interest Income</v>
      </c>
      <c r="B24" s="73" t="str">
        <f>IFERROR(__xludf.DUMMYFUNCTION("""COMPUTED_VALUE"""),"36M")</f>
        <v>36M</v>
      </c>
      <c r="C24" s="73" t="str">
        <f>IFERROR(__xludf.DUMMYFUNCTION("""COMPUTED_VALUE"""),"157M")</f>
        <v>157M</v>
      </c>
      <c r="D24" s="73" t="str">
        <f>IFERROR(__xludf.DUMMYFUNCTION("""COMPUTED_VALUE"""),"365M")</f>
        <v>365M</v>
      </c>
      <c r="E24" s="73" t="str">
        <f>IFERROR(__xludf.DUMMYFUNCTION("""COMPUTED_VALUE"""),"415M")</f>
        <v>415M</v>
      </c>
      <c r="F24" s="73" t="str">
        <f>IFERROR(__xludf.DUMMYFUNCTION("""COMPUTED_VALUE"""),"343M")</f>
        <v>343M</v>
      </c>
      <c r="G24" s="73"/>
    </row>
    <row r="25">
      <c r="A25" s="73" t="str">
        <f>IFERROR(__xludf.DUMMYFUNCTION("""COMPUTED_VALUE"""),"Equity in Affiliates (Pretax)
Equity in Affiliates (Pretax)")</f>
        <v>Equity in Affiliates (Pretax)
Equity in Affiliates (Pretax)</v>
      </c>
      <c r="B25" s="73" t="str">
        <f>IFERROR(__xludf.DUMMYFUNCTION("""COMPUTED_VALUE"""),"1.94B")</f>
        <v>1.94B</v>
      </c>
      <c r="C25" s="73" t="str">
        <f>IFERROR(__xludf.DUMMYFUNCTION("""COMPUTED_VALUE"""),"(1.42B)")</f>
        <v>(1.42B)</v>
      </c>
      <c r="D25" s="73" t="str">
        <f>IFERROR(__xludf.DUMMYFUNCTION("""COMPUTED_VALUE"""),"(106M)")</f>
        <v>(106M)</v>
      </c>
      <c r="E25" s="73" t="str">
        <f>IFERROR(__xludf.DUMMYFUNCTION("""COMPUTED_VALUE"""),"(29M)")</f>
        <v>(29M)</v>
      </c>
      <c r="F25" s="73" t="str">
        <f>IFERROR(__xludf.DUMMYFUNCTION("""COMPUTED_VALUE"""),"(55M)")</f>
        <v>(55M)</v>
      </c>
      <c r="G25" s="73"/>
    </row>
    <row r="26">
      <c r="A26" s="141" t="str">
        <f>IFERROR(__xludf.DUMMYFUNCTION("""COMPUTED_VALUE"""),"Interest Expense
Interest Expense")</f>
        <v>Interest Expense
Interest Expense</v>
      </c>
      <c r="B26" s="73" t="str">
        <f>IFERROR(__xludf.DUMMYFUNCTION("""COMPUTED_VALUE"""),"806M")</f>
        <v>806M</v>
      </c>
      <c r="C26" s="73" t="str">
        <f>IFERROR(__xludf.DUMMYFUNCTION("""COMPUTED_VALUE"""),"962M")</f>
        <v>962M</v>
      </c>
      <c r="D26" s="73" t="str">
        <f>IFERROR(__xludf.DUMMYFUNCTION("""COMPUTED_VALUE"""),"1.15B")</f>
        <v>1.15B</v>
      </c>
      <c r="E26" s="73" t="str">
        <f>IFERROR(__xludf.DUMMYFUNCTION("""COMPUTED_VALUE"""),"1.27B")</f>
        <v>1.27B</v>
      </c>
      <c r="F26" s="73" t="str">
        <f>IFERROR(__xludf.DUMMYFUNCTION("""COMPUTED_VALUE"""),"1.36B")</f>
        <v>1.36B</v>
      </c>
      <c r="G26" s="73"/>
    </row>
    <row r="27">
      <c r="A27" s="73" t="str">
        <f>IFERROR(__xludf.DUMMYFUNCTION("""COMPUTED_VALUE"""),"Interest Expense Growth
Interest Expense Growth")</f>
        <v>Interest Expense Growth
Interest Expense Growth</v>
      </c>
      <c r="B27" s="73" t="str">
        <f>IFERROR(__xludf.DUMMYFUNCTION("""COMPUTED_VALUE"""),"-")</f>
        <v>-</v>
      </c>
      <c r="C27" s="72">
        <f>IFERROR(__xludf.DUMMYFUNCTION("""COMPUTED_VALUE"""),0.1935)</f>
        <v>0.1935</v>
      </c>
      <c r="D27" s="72">
        <f>IFERROR(__xludf.DUMMYFUNCTION("""COMPUTED_VALUE"""),0.1913)</f>
        <v>0.1913</v>
      </c>
      <c r="E27" s="72">
        <f>IFERROR(__xludf.DUMMYFUNCTION("""COMPUTED_VALUE"""),0.1091)</f>
        <v>0.1091</v>
      </c>
      <c r="F27" s="72">
        <f>IFERROR(__xludf.DUMMYFUNCTION("""COMPUTED_VALUE"""),0.0677)</f>
        <v>0.0677</v>
      </c>
      <c r="G27" s="73"/>
    </row>
    <row r="28">
      <c r="A28" s="73" t="str">
        <f>IFERROR(__xludf.DUMMYFUNCTION("""COMPUTED_VALUE"""),"Gross Interest Expense
Gross Interest Expense")</f>
        <v>Gross Interest Expense
Gross Interest Expense</v>
      </c>
      <c r="B28" s="73" t="str">
        <f>IFERROR(__xludf.DUMMYFUNCTION("""COMPUTED_VALUE"""),"806M")</f>
        <v>806M</v>
      </c>
      <c r="C28" s="73" t="str">
        <f>IFERROR(__xludf.DUMMYFUNCTION("""COMPUTED_VALUE"""),"962M")</f>
        <v>962M</v>
      </c>
      <c r="D28" s="73" t="str">
        <f>IFERROR(__xludf.DUMMYFUNCTION("""COMPUTED_VALUE"""),"1.15B")</f>
        <v>1.15B</v>
      </c>
      <c r="E28" s="73" t="str">
        <f>IFERROR(__xludf.DUMMYFUNCTION("""COMPUTED_VALUE"""),"1.27B")</f>
        <v>1.27B</v>
      </c>
      <c r="F28" s="73" t="str">
        <f>IFERROR(__xludf.DUMMYFUNCTION("""COMPUTED_VALUE"""),"1.36B")</f>
        <v>1.36B</v>
      </c>
      <c r="G28" s="73"/>
    </row>
    <row r="29">
      <c r="A29" s="73" t="str">
        <f>IFERROR(__xludf.DUMMYFUNCTION("""COMPUTED_VALUE"""),"Interest Capitalized
Interest Capitalized")</f>
        <v>Interest Capitalized
Interest Capitalized</v>
      </c>
      <c r="B29" s="73" t="str">
        <f>IFERROR(__xludf.DUMMYFUNCTION("""COMPUTED_VALUE"""),"-")</f>
        <v>-</v>
      </c>
      <c r="C29" s="73" t="str">
        <f>IFERROR(__xludf.DUMMYFUNCTION("""COMPUTED_VALUE"""),"-")</f>
        <v>-</v>
      </c>
      <c r="D29" s="73" t="str">
        <f>IFERROR(__xludf.DUMMYFUNCTION("""COMPUTED_VALUE"""),"-")</f>
        <v>-</v>
      </c>
      <c r="E29" s="73" t="str">
        <f>IFERROR(__xludf.DUMMYFUNCTION("""COMPUTED_VALUE"""),"-")</f>
        <v>-</v>
      </c>
      <c r="F29" s="73" t="str">
        <f>IFERROR(__xludf.DUMMYFUNCTION("""COMPUTED_VALUE"""),"-")</f>
        <v>-</v>
      </c>
      <c r="G29" s="73"/>
    </row>
    <row r="30">
      <c r="A30" s="141" t="str">
        <f>IFERROR(__xludf.DUMMYFUNCTION("""COMPUTED_VALUE"""),"Pretax Income
Pretax Income")</f>
        <v>Pretax Income
Pretax Income</v>
      </c>
      <c r="B30" s="73" t="str">
        <f>IFERROR(__xludf.DUMMYFUNCTION("""COMPUTED_VALUE"""),"13.88B")</f>
        <v>13.88B</v>
      </c>
      <c r="C30" s="73" t="str">
        <f>IFERROR(__xludf.DUMMYFUNCTION("""COMPUTED_VALUE"""),"16.44B")</f>
        <v>16.44B</v>
      </c>
      <c r="D30" s="73" t="str">
        <f>IFERROR(__xludf.DUMMYFUNCTION("""COMPUTED_VALUE"""),"1.89B")</f>
        <v>1.89B</v>
      </c>
      <c r="E30" s="73" t="str">
        <f>IFERROR(__xludf.DUMMYFUNCTION("""COMPUTED_VALUE"""),"19.94B")</f>
        <v>19.94B</v>
      </c>
      <c r="F30" s="73" t="str">
        <f>IFERROR(__xludf.DUMMYFUNCTION("""COMPUTED_VALUE"""),"21.07B")</f>
        <v>21.07B</v>
      </c>
      <c r="G30" s="73"/>
    </row>
    <row r="31">
      <c r="A31" s="73" t="str">
        <f>IFERROR(__xludf.DUMMYFUNCTION("""COMPUTED_VALUE"""),"Pretax Income Growth
Pretax Income Growth")</f>
        <v>Pretax Income Growth
Pretax Income Growth</v>
      </c>
      <c r="B31" s="73" t="str">
        <f>IFERROR(__xludf.DUMMYFUNCTION("""COMPUTED_VALUE"""),"-")</f>
        <v>-</v>
      </c>
      <c r="C31" s="72">
        <f>IFERROR(__xludf.DUMMYFUNCTION("""COMPUTED_VALUE"""),0.1848)</f>
        <v>0.1848</v>
      </c>
      <c r="D31" s="72">
        <f>IFERROR(__xludf.DUMMYFUNCTION("""COMPUTED_VALUE"""),-0.8851)</f>
        <v>-0.8851</v>
      </c>
      <c r="E31" s="72">
        <f>IFERROR(__xludf.DUMMYFUNCTION("""COMPUTED_VALUE"""),9.5537)</f>
        <v>9.5537</v>
      </c>
      <c r="F31" s="72">
        <f>IFERROR(__xludf.DUMMYFUNCTION("""COMPUTED_VALUE"""),0.0567)</f>
        <v>0.0567</v>
      </c>
      <c r="G31" s="73"/>
    </row>
    <row r="32">
      <c r="A32" s="73" t="str">
        <f>IFERROR(__xludf.DUMMYFUNCTION("""COMPUTED_VALUE"""),"Pretax Margin
Pretax Margin")</f>
        <v>Pretax Margin
Pretax Margin</v>
      </c>
      <c r="B32" s="73" t="str">
        <f>IFERROR(__xludf.DUMMYFUNCTION("""COMPUTED_VALUE"""),"-")</f>
        <v>-</v>
      </c>
      <c r="C32" s="73" t="str">
        <f>IFERROR(__xludf.DUMMYFUNCTION("""COMPUTED_VALUE"""),"-")</f>
        <v>-</v>
      </c>
      <c r="D32" s="73" t="str">
        <f>IFERROR(__xludf.DUMMYFUNCTION("""COMPUTED_VALUE"""),"-")</f>
        <v>-</v>
      </c>
      <c r="E32" s="73" t="str">
        <f>IFERROR(__xludf.DUMMYFUNCTION("""COMPUTED_VALUE"""),"-")</f>
        <v>-</v>
      </c>
      <c r="F32" s="72">
        <f>IFERROR(__xludf.DUMMYFUNCTION("""COMPUTED_VALUE"""),0.3245)</f>
        <v>0.3245</v>
      </c>
      <c r="G32" s="73"/>
    </row>
    <row r="33">
      <c r="A33" s="141" t="str">
        <f>IFERROR(__xludf.DUMMYFUNCTION("""COMPUTED_VALUE"""),"Income Tax
Income Tax")</f>
        <v>Income Tax
Income Tax</v>
      </c>
      <c r="B33" s="73" t="str">
        <f>IFERROR(__xludf.DUMMYFUNCTION("""COMPUTED_VALUE"""),"1.52B")</f>
        <v>1.52B</v>
      </c>
      <c r="C33" s="73" t="str">
        <f>IFERROR(__xludf.DUMMYFUNCTION("""COMPUTED_VALUE"""),"1.92B")</f>
        <v>1.92B</v>
      </c>
      <c r="D33" s="73" t="str">
        <f>IFERROR(__xludf.DUMMYFUNCTION("""COMPUTED_VALUE"""),"1.51B")</f>
        <v>1.51B</v>
      </c>
      <c r="E33" s="73" t="str">
        <f>IFERROR(__xludf.DUMMYFUNCTION("""COMPUTED_VALUE"""),"2.8B")</f>
        <v>2.8B</v>
      </c>
      <c r="F33" s="73" t="str">
        <f>IFERROR(__xludf.DUMMYFUNCTION("""COMPUTED_VALUE"""),"2.8B")</f>
        <v>2.8B</v>
      </c>
      <c r="G33" s="73"/>
    </row>
    <row r="34">
      <c r="A34" s="141" t="str">
        <f>IFERROR(__xludf.DUMMYFUNCTION("""COMPUTED_VALUE"""),"Income Tax - Current Domestic
Income Tax - Current Domestic")</f>
        <v>Income Tax - Current Domestic
Income Tax - Current Domestic</v>
      </c>
      <c r="B34" s="73" t="str">
        <f>IFERROR(__xludf.DUMMYFUNCTION("""COMPUTED_VALUE"""),"61M")</f>
        <v>61M</v>
      </c>
      <c r="C34" s="73" t="str">
        <f>IFERROR(__xludf.DUMMYFUNCTION("""COMPUTED_VALUE"""),"2.32B")</f>
        <v>2.32B</v>
      </c>
      <c r="D34" s="73" t="str">
        <f>IFERROR(__xludf.DUMMYFUNCTION("""COMPUTED_VALUE"""),"976M")</f>
        <v>976M</v>
      </c>
      <c r="E34" s="73" t="str">
        <f>IFERROR(__xludf.DUMMYFUNCTION("""COMPUTED_VALUE"""),"929M")</f>
        <v>929M</v>
      </c>
      <c r="F34" s="73" t="str">
        <f>IFERROR(__xludf.DUMMYFUNCTION("""COMPUTED_VALUE"""),"403M")</f>
        <v>403M</v>
      </c>
      <c r="G34" s="73"/>
    </row>
    <row r="35">
      <c r="A35" s="141" t="str">
        <f>IFERROR(__xludf.DUMMYFUNCTION("""COMPUTED_VALUE"""),"Income Tax - Current Foreign
Income Tax - Current Foreign")</f>
        <v>Income Tax - Current Foreign
Income Tax - Current Foreign</v>
      </c>
      <c r="B35" s="73" t="str">
        <f>IFERROR(__xludf.DUMMYFUNCTION("""COMPUTED_VALUE"""),"1.27B")</f>
        <v>1.27B</v>
      </c>
      <c r="C35" s="73" t="str">
        <f>IFERROR(__xludf.DUMMYFUNCTION("""COMPUTED_VALUE"""),"1.16B")</f>
        <v>1.16B</v>
      </c>
      <c r="D35" s="73" t="str">
        <f>IFERROR(__xludf.DUMMYFUNCTION("""COMPUTED_VALUE"""),"2.44B")</f>
        <v>2.44B</v>
      </c>
      <c r="E35" s="73" t="str">
        <f>IFERROR(__xludf.DUMMYFUNCTION("""COMPUTED_VALUE"""),"3.12B")</f>
        <v>3.12B</v>
      </c>
      <c r="F35" s="73" t="str">
        <f>IFERROR(__xludf.DUMMYFUNCTION("""COMPUTED_VALUE"""),"4.07B")</f>
        <v>4.07B</v>
      </c>
      <c r="G35" s="73"/>
    </row>
    <row r="36">
      <c r="A36" s="141" t="str">
        <f>IFERROR(__xludf.DUMMYFUNCTION("""COMPUTED_VALUE"""),"Income Tax - Deferred Domestic
Income Tax - Deferred Domestic")</f>
        <v>Income Tax - Deferred Domestic
Income Tax - Deferred Domestic</v>
      </c>
      <c r="B36" s="73" t="str">
        <f>IFERROR(__xludf.DUMMYFUNCTION("""COMPUTED_VALUE"""),"264M")</f>
        <v>264M</v>
      </c>
      <c r="C36" s="73" t="str">
        <f>IFERROR(__xludf.DUMMYFUNCTION("""COMPUTED_VALUE"""),"(1.64B)")</f>
        <v>(1.64B)</v>
      </c>
      <c r="D36" s="73" t="str">
        <f>IFERROR(__xludf.DUMMYFUNCTION("""COMPUTED_VALUE"""),"(1.67B)")</f>
        <v>(1.67B)</v>
      </c>
      <c r="E36" s="73" t="str">
        <f>IFERROR(__xludf.DUMMYFUNCTION("""COMPUTED_VALUE"""),"(1.46B)")</f>
        <v>(1.46B)</v>
      </c>
      <c r="F36" s="73" t="str">
        <f>IFERROR(__xludf.DUMMYFUNCTION("""COMPUTED_VALUE"""),"(1.59B)")</f>
        <v>(1.59B)</v>
      </c>
      <c r="G36" s="73"/>
    </row>
    <row r="37">
      <c r="A37" s="141" t="str">
        <f>IFERROR(__xludf.DUMMYFUNCTION("""COMPUTED_VALUE"""),"Income Tax - Deferred Foreign
Income Tax - Deferred Foreign")</f>
        <v>Income Tax - Deferred Foreign
Income Tax - Deferred Foreign</v>
      </c>
      <c r="B37" s="73" t="str">
        <f>IFERROR(__xludf.DUMMYFUNCTION("""COMPUTED_VALUE"""),"(77M)")</f>
        <v>(77M)</v>
      </c>
      <c r="C37" s="73" t="str">
        <f>IFERROR(__xludf.DUMMYFUNCTION("""COMPUTED_VALUE"""),"71M")</f>
        <v>71M</v>
      </c>
      <c r="D37" s="73" t="str">
        <f>IFERROR(__xludf.DUMMYFUNCTION("""COMPUTED_VALUE"""),"(233M)")</f>
        <v>(233M)</v>
      </c>
      <c r="E37" s="73" t="str">
        <f>IFERROR(__xludf.DUMMYFUNCTION("""COMPUTED_VALUE"""),"212M")</f>
        <v>212M</v>
      </c>
      <c r="F37" s="73" t="str">
        <f>IFERROR(__xludf.DUMMYFUNCTION("""COMPUTED_VALUE"""),"(83M)")</f>
        <v>(83M)</v>
      </c>
      <c r="G37" s="73"/>
    </row>
    <row r="38">
      <c r="A38" s="141" t="str">
        <f>IFERROR(__xludf.DUMMYFUNCTION("""COMPUTED_VALUE"""),"Income Tax Credits
Income Tax Credits")</f>
        <v>Income Tax Credits
Income Tax Credits</v>
      </c>
      <c r="B38" s="73" t="str">
        <f>IFERROR(__xludf.DUMMYFUNCTION("""COMPUTED_VALUE"""),"-")</f>
        <v>-</v>
      </c>
      <c r="C38" s="73" t="str">
        <f>IFERROR(__xludf.DUMMYFUNCTION("""COMPUTED_VALUE"""),"-")</f>
        <v>-</v>
      </c>
      <c r="D38" s="73" t="str">
        <f>IFERROR(__xludf.DUMMYFUNCTION("""COMPUTED_VALUE"""),"-")</f>
        <v>-</v>
      </c>
      <c r="E38" s="73" t="str">
        <f>IFERROR(__xludf.DUMMYFUNCTION("""COMPUTED_VALUE"""),"-")</f>
        <v>-</v>
      </c>
      <c r="F38" s="73" t="str">
        <f>IFERROR(__xludf.DUMMYFUNCTION("""COMPUTED_VALUE"""),"-")</f>
        <v>-</v>
      </c>
      <c r="G38" s="73"/>
    </row>
    <row r="39">
      <c r="A39" s="73" t="str">
        <f>IFERROR(__xludf.DUMMYFUNCTION("""COMPUTED_VALUE"""),"Equity in Affiliates
Equity in Affiliates")</f>
        <v>Equity in Affiliates
Equity in Affiliates</v>
      </c>
      <c r="B39" s="73" t="str">
        <f>IFERROR(__xludf.DUMMYFUNCTION("""COMPUTED_VALUE"""),"-")</f>
        <v>-</v>
      </c>
      <c r="C39" s="73" t="str">
        <f>IFERROR(__xludf.DUMMYFUNCTION("""COMPUTED_VALUE"""),"-")</f>
        <v>-</v>
      </c>
      <c r="D39" s="73" t="str">
        <f>IFERROR(__xludf.DUMMYFUNCTION("""COMPUTED_VALUE"""),"-")</f>
        <v>-</v>
      </c>
      <c r="E39" s="73" t="str">
        <f>IFERROR(__xludf.DUMMYFUNCTION("""COMPUTED_VALUE"""),"-")</f>
        <v>-</v>
      </c>
      <c r="F39" s="73" t="str">
        <f>IFERROR(__xludf.DUMMYFUNCTION("""COMPUTED_VALUE"""),"-")</f>
        <v>-</v>
      </c>
      <c r="G39" s="73"/>
    </row>
    <row r="40">
      <c r="A40" s="73" t="str">
        <f>IFERROR(__xludf.DUMMYFUNCTION("""COMPUTED_VALUE"""),"Other After Tax Income (Expense)
Other After Tax Income (Expense)")</f>
        <v>Other After Tax Income (Expense)
Other After Tax Income (Expense)</v>
      </c>
      <c r="B40" s="73" t="str">
        <f>IFERROR(__xludf.DUMMYFUNCTION("""COMPUTED_VALUE"""),"-")</f>
        <v>-</v>
      </c>
      <c r="C40" s="73" t="str">
        <f>IFERROR(__xludf.DUMMYFUNCTION("""COMPUTED_VALUE"""),"-")</f>
        <v>-</v>
      </c>
      <c r="D40" s="73" t="str">
        <f>IFERROR(__xludf.DUMMYFUNCTION("""COMPUTED_VALUE"""),"-")</f>
        <v>-</v>
      </c>
      <c r="E40" s="73" t="str">
        <f>IFERROR(__xludf.DUMMYFUNCTION("""COMPUTED_VALUE"""),"-")</f>
        <v>-</v>
      </c>
      <c r="F40" s="73" t="str">
        <f>IFERROR(__xludf.DUMMYFUNCTION("""COMPUTED_VALUE"""),"-")</f>
        <v>-</v>
      </c>
      <c r="G40" s="73"/>
    </row>
    <row r="41">
      <c r="A41" s="73" t="str">
        <f>IFERROR(__xludf.DUMMYFUNCTION("""COMPUTED_VALUE"""),"Consolidated Net Income
Consolidated Net Income")</f>
        <v>Consolidated Net Income
Consolidated Net Income</v>
      </c>
      <c r="B41" s="73" t="str">
        <f>IFERROR(__xludf.DUMMYFUNCTION("""COMPUTED_VALUE"""),"12.36B")</f>
        <v>12.36B</v>
      </c>
      <c r="C41" s="73" t="str">
        <f>IFERROR(__xludf.DUMMYFUNCTION("""COMPUTED_VALUE"""),"14.53B")</f>
        <v>14.53B</v>
      </c>
      <c r="D41" s="73" t="str">
        <f>IFERROR(__xludf.DUMMYFUNCTION("""COMPUTED_VALUE"""),"377M")</f>
        <v>377M</v>
      </c>
      <c r="E41" s="73" t="str">
        <f>IFERROR(__xludf.DUMMYFUNCTION("""COMPUTED_VALUE"""),"17.13B")</f>
        <v>17.13B</v>
      </c>
      <c r="F41" s="73" t="str">
        <f>IFERROR(__xludf.DUMMYFUNCTION("""COMPUTED_VALUE"""),"18.26B")</f>
        <v>18.26B</v>
      </c>
      <c r="G41" s="73"/>
    </row>
    <row r="42">
      <c r="A42" s="73" t="str">
        <f>IFERROR(__xludf.DUMMYFUNCTION("""COMPUTED_VALUE"""),"Minority Interest Expense
Minority Interest Expense")</f>
        <v>Minority Interest Expense
Minority Interest Expense</v>
      </c>
      <c r="B42" s="73" t="str">
        <f>IFERROR(__xludf.DUMMYFUNCTION("""COMPUTED_VALUE"""),"13M")</f>
        <v>13M</v>
      </c>
      <c r="C42" s="73" t="str">
        <f>IFERROR(__xludf.DUMMYFUNCTION("""COMPUTED_VALUE"""),"7M")</f>
        <v>7M</v>
      </c>
      <c r="D42" s="73" t="str">
        <f>IFERROR(__xludf.DUMMYFUNCTION("""COMPUTED_VALUE"""),"12M")</f>
        <v>12M</v>
      </c>
      <c r="E42" s="73" t="str">
        <f>IFERROR(__xludf.DUMMYFUNCTION("""COMPUTED_VALUE"""),"16M")</f>
        <v>16M</v>
      </c>
      <c r="F42" s="73" t="str">
        <f>IFERROR(__xludf.DUMMYFUNCTION("""COMPUTED_VALUE"""),"9M")</f>
        <v>9M</v>
      </c>
      <c r="G42" s="73"/>
    </row>
    <row r="43">
      <c r="A43" s="141" t="str">
        <f>IFERROR(__xludf.DUMMYFUNCTION("""COMPUTED_VALUE"""),"Net Income
Net Income")</f>
        <v>Net Income
Net Income</v>
      </c>
      <c r="B43" s="73" t="str">
        <f>IFERROR(__xludf.DUMMYFUNCTION("""COMPUTED_VALUE"""),"12.35B")</f>
        <v>12.35B</v>
      </c>
      <c r="C43" s="73" t="str">
        <f>IFERROR(__xludf.DUMMYFUNCTION("""COMPUTED_VALUE"""),"14.52B")</f>
        <v>14.52B</v>
      </c>
      <c r="D43" s="73" t="str">
        <f>IFERROR(__xludf.DUMMYFUNCTION("""COMPUTED_VALUE"""),"365M")</f>
        <v>365M</v>
      </c>
      <c r="E43" s="73" t="str">
        <f>IFERROR(__xludf.DUMMYFUNCTION("""COMPUTED_VALUE"""),"17.12B")</f>
        <v>17.12B</v>
      </c>
      <c r="F43" s="73" t="str">
        <f>IFERROR(__xludf.DUMMYFUNCTION("""COMPUTED_VALUE"""),"18.25B")</f>
        <v>18.25B</v>
      </c>
      <c r="G43" s="73"/>
    </row>
    <row r="44">
      <c r="A44" s="141" t="str">
        <f>IFERROR(__xludf.DUMMYFUNCTION("""COMPUTED_VALUE"""),"Net Income Growth
Net Income Growth")</f>
        <v>Net Income Growth
Net Income Growth</v>
      </c>
      <c r="B44" s="73" t="str">
        <f>IFERROR(__xludf.DUMMYFUNCTION("""COMPUTED_VALUE"""),"-")</f>
        <v>-</v>
      </c>
      <c r="C44" s="72">
        <f>IFERROR(__xludf.DUMMYFUNCTION("""COMPUTED_VALUE"""),0.1761)</f>
        <v>0.1761</v>
      </c>
      <c r="D44" s="72">
        <f>IFERROR(__xludf.DUMMYFUNCTION("""COMPUTED_VALUE"""),-0.9749)</f>
        <v>-0.9749</v>
      </c>
      <c r="E44" s="72">
        <f>IFERROR(__xludf.DUMMYFUNCTION("""COMPUTED_VALUE"""),45.8959)</f>
        <v>45.8959</v>
      </c>
      <c r="F44" s="72">
        <f>IFERROR(__xludf.DUMMYFUNCTION("""COMPUTED_VALUE"""),0.0664)</f>
        <v>0.0664</v>
      </c>
      <c r="G44" s="73"/>
    </row>
    <row r="45">
      <c r="A45" s="141" t="str">
        <f>IFERROR(__xludf.DUMMYFUNCTION("""COMPUTED_VALUE"""),"Net Margin Growth
Net Margin Growth")</f>
        <v>Net Margin Growth
Net Margin Growth</v>
      </c>
      <c r="B45" s="73" t="str">
        <f>IFERROR(__xludf.DUMMYFUNCTION("""COMPUTED_VALUE"""),"-")</f>
        <v>-</v>
      </c>
      <c r="C45" s="73" t="str">
        <f>IFERROR(__xludf.DUMMYFUNCTION("""COMPUTED_VALUE"""),"-")</f>
        <v>-</v>
      </c>
      <c r="D45" s="73" t="str">
        <f>IFERROR(__xludf.DUMMYFUNCTION("""COMPUTED_VALUE"""),"-")</f>
        <v>-</v>
      </c>
      <c r="E45" s="73" t="str">
        <f>IFERROR(__xludf.DUMMYFUNCTION("""COMPUTED_VALUE"""),"-")</f>
        <v>-</v>
      </c>
      <c r="F45" s="72">
        <f>IFERROR(__xludf.DUMMYFUNCTION("""COMPUTED_VALUE"""),0.2812)</f>
        <v>0.2812</v>
      </c>
      <c r="G45" s="73"/>
    </row>
    <row r="46">
      <c r="A46" s="73" t="str">
        <f>IFERROR(__xludf.DUMMYFUNCTION("""COMPUTED_VALUE"""),"Extraordinaries &amp; Discontinued Operations
Extraordinaries &amp; Discontinued Operations")</f>
        <v>Extraordinaries &amp; Discontinued Operations
Extraordinaries &amp; Discontinued Operations</v>
      </c>
      <c r="B46" s="73" t="str">
        <f>IFERROR(__xludf.DUMMYFUNCTION("""COMPUTED_VALUE"""),"704M")</f>
        <v>704M</v>
      </c>
      <c r="C46" s="73" t="str">
        <f>IFERROR(__xludf.DUMMYFUNCTION("""COMPUTED_VALUE"""),"-")</f>
        <v>-</v>
      </c>
      <c r="D46" s="73" t="str">
        <f>IFERROR(__xludf.DUMMYFUNCTION("""COMPUTED_VALUE"""),"-")</f>
        <v>-</v>
      </c>
      <c r="E46" s="73" t="str">
        <f>IFERROR(__xludf.DUMMYFUNCTION("""COMPUTED_VALUE"""),"-")</f>
        <v>-</v>
      </c>
      <c r="F46" s="73" t="str">
        <f>IFERROR(__xludf.DUMMYFUNCTION("""COMPUTED_VALUE"""),"-")</f>
        <v>-</v>
      </c>
      <c r="G46" s="73"/>
    </row>
    <row r="47">
      <c r="A47" s="73" t="str">
        <f>IFERROR(__xludf.DUMMYFUNCTION("""COMPUTED_VALUE"""),"Extra Items &amp; Gain/Loss Sale Of Assets
Extra Items &amp; Gain/Loss Sale Of Assets")</f>
        <v>Extra Items &amp; Gain/Loss Sale Of Assets
Extra Items &amp; Gain/Loss Sale Of Assets</v>
      </c>
      <c r="B47" s="73" t="str">
        <f>IFERROR(__xludf.DUMMYFUNCTION("""COMPUTED_VALUE"""),"-")</f>
        <v>-</v>
      </c>
      <c r="C47" s="73" t="str">
        <f>IFERROR(__xludf.DUMMYFUNCTION("""COMPUTED_VALUE"""),"-")</f>
        <v>-</v>
      </c>
      <c r="D47" s="73" t="str">
        <f>IFERROR(__xludf.DUMMYFUNCTION("""COMPUTED_VALUE"""),"-")</f>
        <v>-</v>
      </c>
      <c r="E47" s="73" t="str">
        <f>IFERROR(__xludf.DUMMYFUNCTION("""COMPUTED_VALUE"""),"-")</f>
        <v>-</v>
      </c>
      <c r="F47" s="73" t="str">
        <f>IFERROR(__xludf.DUMMYFUNCTION("""COMPUTED_VALUE"""),"-")</f>
        <v>-</v>
      </c>
      <c r="G47" s="73"/>
    </row>
    <row r="48">
      <c r="A48" s="73" t="str">
        <f>IFERROR(__xludf.DUMMYFUNCTION("""COMPUTED_VALUE"""),"Cumulative Effect - Accounting Chg
Cumulative Effect - Accounting Chg")</f>
        <v>Cumulative Effect - Accounting Chg
Cumulative Effect - Accounting Chg</v>
      </c>
      <c r="B48" s="73" t="str">
        <f>IFERROR(__xludf.DUMMYFUNCTION("""COMPUTED_VALUE"""),"-")</f>
        <v>-</v>
      </c>
      <c r="C48" s="73" t="str">
        <f>IFERROR(__xludf.DUMMYFUNCTION("""COMPUTED_VALUE"""),"-")</f>
        <v>-</v>
      </c>
      <c r="D48" s="73" t="str">
        <f>IFERROR(__xludf.DUMMYFUNCTION("""COMPUTED_VALUE"""),"-")</f>
        <v>-</v>
      </c>
      <c r="E48" s="73" t="str">
        <f>IFERROR(__xludf.DUMMYFUNCTION("""COMPUTED_VALUE"""),"-")</f>
        <v>-</v>
      </c>
      <c r="F48" s="73" t="str">
        <f>IFERROR(__xludf.DUMMYFUNCTION("""COMPUTED_VALUE"""),"-")</f>
        <v>-</v>
      </c>
      <c r="G48" s="73"/>
    </row>
    <row r="49">
      <c r="A49" s="73" t="str">
        <f>IFERROR(__xludf.DUMMYFUNCTION("""COMPUTED_VALUE"""),"Discontinued Operations
Discontinued Operations")</f>
        <v>Discontinued Operations
Discontinued Operations</v>
      </c>
      <c r="B49" s="73" t="str">
        <f>IFERROR(__xludf.DUMMYFUNCTION("""COMPUTED_VALUE"""),"704M")</f>
        <v>704M</v>
      </c>
      <c r="C49" s="73" t="str">
        <f>IFERROR(__xludf.DUMMYFUNCTION("""COMPUTED_VALUE"""),"-")</f>
        <v>-</v>
      </c>
      <c r="D49" s="73" t="str">
        <f>IFERROR(__xludf.DUMMYFUNCTION("""COMPUTED_VALUE"""),"-")</f>
        <v>-</v>
      </c>
      <c r="E49" s="73" t="str">
        <f>IFERROR(__xludf.DUMMYFUNCTION("""COMPUTED_VALUE"""),"-")</f>
        <v>-</v>
      </c>
      <c r="F49" s="73" t="str">
        <f>IFERROR(__xludf.DUMMYFUNCTION("""COMPUTED_VALUE"""),"-")</f>
        <v>-</v>
      </c>
      <c r="G49" s="73"/>
    </row>
    <row r="50">
      <c r="A50" s="73" t="str">
        <f>IFERROR(__xludf.DUMMYFUNCTION("""COMPUTED_VALUE"""),"Net Income After Extraordinaries
Net Income After Extraordinaries")</f>
        <v>Net Income After Extraordinaries
Net Income After Extraordinaries</v>
      </c>
      <c r="B50" s="73" t="str">
        <f>IFERROR(__xludf.DUMMYFUNCTION("""COMPUTED_VALUE"""),"13.05B")</f>
        <v>13.05B</v>
      </c>
      <c r="C50" s="73" t="str">
        <f>IFERROR(__xludf.DUMMYFUNCTION("""COMPUTED_VALUE"""),"14.52B")</f>
        <v>14.52B</v>
      </c>
      <c r="D50" s="73" t="str">
        <f>IFERROR(__xludf.DUMMYFUNCTION("""COMPUTED_VALUE"""),"365M")</f>
        <v>365M</v>
      </c>
      <c r="E50" s="73" t="str">
        <f>IFERROR(__xludf.DUMMYFUNCTION("""COMPUTED_VALUE"""),"17.12B")</f>
        <v>17.12B</v>
      </c>
      <c r="F50" s="73" t="str">
        <f>IFERROR(__xludf.DUMMYFUNCTION("""COMPUTED_VALUE"""),"18.25B")</f>
        <v>18.25B</v>
      </c>
      <c r="G50" s="73"/>
    </row>
    <row r="51">
      <c r="A51" s="73" t="str">
        <f>IFERROR(__xludf.DUMMYFUNCTION("""COMPUTED_VALUE"""),"Preferred Dividends
Preferred Dividends")</f>
        <v>Preferred Dividends
Preferred Dividends</v>
      </c>
      <c r="B51" s="73" t="str">
        <f>IFERROR(__xludf.DUMMYFUNCTION("""COMPUTED_VALUE"""),"-")</f>
        <v>-</v>
      </c>
      <c r="C51" s="73" t="str">
        <f>IFERROR(__xludf.DUMMYFUNCTION("""COMPUTED_VALUE"""),"-")</f>
        <v>-</v>
      </c>
      <c r="D51" s="73" t="str">
        <f>IFERROR(__xludf.DUMMYFUNCTION("""COMPUTED_VALUE"""),"-")</f>
        <v>-</v>
      </c>
      <c r="E51" s="73" t="str">
        <f>IFERROR(__xludf.DUMMYFUNCTION("""COMPUTED_VALUE"""),"-")</f>
        <v>-</v>
      </c>
      <c r="F51" s="73" t="str">
        <f>IFERROR(__xludf.DUMMYFUNCTION("""COMPUTED_VALUE"""),"-")</f>
        <v>-</v>
      </c>
      <c r="G51" s="73"/>
    </row>
    <row r="52">
      <c r="A52" s="141" t="str">
        <f>IFERROR(__xludf.DUMMYFUNCTION("""COMPUTED_VALUE"""),"Net Income Available to Common
Net Income Available to Common")</f>
        <v>Net Income Available to Common
Net Income Available to Common</v>
      </c>
      <c r="B52" s="73" t="str">
        <f>IFERROR(__xludf.DUMMYFUNCTION("""COMPUTED_VALUE"""),"13.05B")</f>
        <v>13.05B</v>
      </c>
      <c r="C52" s="73" t="str">
        <f>IFERROR(__xludf.DUMMYFUNCTION("""COMPUTED_VALUE"""),"14.52B")</f>
        <v>14.52B</v>
      </c>
      <c r="D52" s="73" t="str">
        <f>IFERROR(__xludf.DUMMYFUNCTION("""COMPUTED_VALUE"""),"365M")</f>
        <v>365M</v>
      </c>
      <c r="E52" s="73" t="str">
        <f>IFERROR(__xludf.DUMMYFUNCTION("""COMPUTED_VALUE"""),"17.12B")</f>
        <v>17.12B</v>
      </c>
      <c r="F52" s="73" t="str">
        <f>IFERROR(__xludf.DUMMYFUNCTION("""COMPUTED_VALUE"""),"18.25B")</f>
        <v>18.25B</v>
      </c>
      <c r="G52" s="73"/>
    </row>
    <row r="53">
      <c r="A53" s="141" t="str">
        <f>IFERROR(__xludf.DUMMYFUNCTION("""COMPUTED_VALUE"""),"EPS (Basic)
EPS (Basic)")</f>
        <v>EPS (Basic)
EPS (Basic)</v>
      </c>
      <c r="B53" s="73">
        <f>IFERROR(__xludf.DUMMYFUNCTION("""COMPUTED_VALUE"""),5.16)</f>
        <v>5.16</v>
      </c>
      <c r="C53" s="73">
        <f>IFERROR(__xludf.DUMMYFUNCTION("""COMPUTED_VALUE"""),5.73)</f>
        <v>5.73</v>
      </c>
      <c r="D53" s="73">
        <f>IFERROR(__xludf.DUMMYFUNCTION("""COMPUTED_VALUE"""),0.14)</f>
        <v>0.14</v>
      </c>
      <c r="E53" s="73">
        <f>IFERROR(__xludf.DUMMYFUNCTION("""COMPUTED_VALUE"""),6.76)</f>
        <v>6.76</v>
      </c>
      <c r="F53" s="73">
        <f>IFERROR(__xludf.DUMMYFUNCTION("""COMPUTED_VALUE"""),7.3)</f>
        <v>7.3</v>
      </c>
      <c r="G53" s="73"/>
    </row>
    <row r="54">
      <c r="A54" s="141" t="str">
        <f>IFERROR(__xludf.DUMMYFUNCTION("""COMPUTED_VALUE"""),"EPS (Basic) Growth
EPS (Basic) Growth")</f>
        <v>EPS (Basic) Growth
EPS (Basic) Growth</v>
      </c>
      <c r="B54" s="73" t="str">
        <f>IFERROR(__xludf.DUMMYFUNCTION("""COMPUTED_VALUE"""),"-")</f>
        <v>-</v>
      </c>
      <c r="C54" s="72">
        <f>IFERROR(__xludf.DUMMYFUNCTION("""COMPUTED_VALUE"""),0.1118)</f>
        <v>0.1118</v>
      </c>
      <c r="D54" s="72">
        <f>IFERROR(__xludf.DUMMYFUNCTION("""COMPUTED_VALUE"""),-0.9749)</f>
        <v>-0.9749</v>
      </c>
      <c r="E54" s="72">
        <f>IFERROR(__xludf.DUMMYFUNCTION("""COMPUTED_VALUE"""),45.9792)</f>
        <v>45.9792</v>
      </c>
      <c r="F54" s="72">
        <f>IFERROR(__xludf.DUMMYFUNCTION("""COMPUTED_VALUE"""),0.0792)</f>
        <v>0.0792</v>
      </c>
      <c r="G54" s="73"/>
    </row>
    <row r="55">
      <c r="A55" s="141" t="str">
        <f>IFERROR(__xludf.DUMMYFUNCTION("""COMPUTED_VALUE"""),"Basic Shares Outstanding
Basic Shares Outstanding")</f>
        <v>Basic Shares Outstanding
Basic Shares Outstanding</v>
      </c>
      <c r="B55" s="73" t="str">
        <f>IFERROR(__xludf.DUMMYFUNCTION("""COMPUTED_VALUE"""),"2.53B")</f>
        <v>2.53B</v>
      </c>
      <c r="C55" s="73" t="str">
        <f>IFERROR(__xludf.DUMMYFUNCTION("""COMPUTED_VALUE"""),"2.53B")</f>
        <v>2.53B</v>
      </c>
      <c r="D55" s="73" t="str">
        <f>IFERROR(__xludf.DUMMYFUNCTION("""COMPUTED_VALUE"""),"2.54B")</f>
        <v>2.54B</v>
      </c>
      <c r="E55" s="73" t="str">
        <f>IFERROR(__xludf.DUMMYFUNCTION("""COMPUTED_VALUE"""),"2.53B")</f>
        <v>2.53B</v>
      </c>
      <c r="F55" s="73" t="str">
        <f>IFERROR(__xludf.DUMMYFUNCTION("""COMPUTED_VALUE"""),"2.5B")</f>
        <v>2.5B</v>
      </c>
      <c r="G55" s="73"/>
    </row>
    <row r="56">
      <c r="A56" s="141" t="str">
        <f>IFERROR(__xludf.DUMMYFUNCTION("""COMPUTED_VALUE"""),"EPS (Diluted)
EPS (Diluted)")</f>
        <v>EPS (Diluted)
EPS (Diluted)</v>
      </c>
      <c r="B56" s="73">
        <f>IFERROR(__xludf.DUMMYFUNCTION("""COMPUTED_VALUE"""),5.14)</f>
        <v>5.14</v>
      </c>
      <c r="C56" s="73">
        <f>IFERROR(__xludf.DUMMYFUNCTION("""COMPUTED_VALUE"""),5.71)</f>
        <v>5.71</v>
      </c>
      <c r="D56" s="73">
        <f>IFERROR(__xludf.DUMMYFUNCTION("""COMPUTED_VALUE"""),0.14)</f>
        <v>0.14</v>
      </c>
      <c r="E56" s="73">
        <f>IFERROR(__xludf.DUMMYFUNCTION("""COMPUTED_VALUE"""),6.74)</f>
        <v>6.74</v>
      </c>
      <c r="F56" s="73">
        <f>IFERROR(__xludf.DUMMYFUNCTION("""COMPUTED_VALUE"""),7.28)</f>
        <v>7.28</v>
      </c>
      <c r="G56" s="73"/>
    </row>
    <row r="57">
      <c r="A57" s="141" t="str">
        <f>IFERROR(__xludf.DUMMYFUNCTION("""COMPUTED_VALUE"""),"EPS (Diluted) Growth
EPS (Diluted) Growth")</f>
        <v>EPS (Diluted) Growth
EPS (Diluted) Growth</v>
      </c>
      <c r="B57" s="73" t="str">
        <f>IFERROR(__xludf.DUMMYFUNCTION("""COMPUTED_VALUE"""),"-")</f>
        <v>-</v>
      </c>
      <c r="C57" s="72">
        <f>IFERROR(__xludf.DUMMYFUNCTION("""COMPUTED_VALUE"""),0.1109)</f>
        <v>0.1109</v>
      </c>
      <c r="D57" s="72">
        <f>IFERROR(__xludf.DUMMYFUNCTION("""COMPUTED_VALUE"""),-0.9749)</f>
        <v>-0.9749</v>
      </c>
      <c r="E57" s="72">
        <f>IFERROR(__xludf.DUMMYFUNCTION("""COMPUTED_VALUE"""),46.0084)</f>
        <v>46.0084</v>
      </c>
      <c r="F57" s="72">
        <f>IFERROR(__xludf.DUMMYFUNCTION("""COMPUTED_VALUE"""),0.0809)</f>
        <v>0.0809</v>
      </c>
      <c r="G57" s="73"/>
    </row>
    <row r="58">
      <c r="A58" s="73" t="str">
        <f>IFERROR(__xludf.DUMMYFUNCTION("""COMPUTED_VALUE"""),"Diluted Shares Outstanding
Diluted Shares Outstanding")</f>
        <v>Diluted Shares Outstanding
Diluted Shares Outstanding</v>
      </c>
      <c r="B58" s="73" t="str">
        <f>IFERROR(__xludf.DUMMYFUNCTION("""COMPUTED_VALUE"""),"2.54B")</f>
        <v>2.54B</v>
      </c>
      <c r="C58" s="73" t="str">
        <f>IFERROR(__xludf.DUMMYFUNCTION("""COMPUTED_VALUE"""),"2.54B")</f>
        <v>2.54B</v>
      </c>
      <c r="D58" s="73" t="str">
        <f>IFERROR(__xludf.DUMMYFUNCTION("""COMPUTED_VALUE"""),"2.55B")</f>
        <v>2.55B</v>
      </c>
      <c r="E58" s="73" t="str">
        <f>IFERROR(__xludf.DUMMYFUNCTION("""COMPUTED_VALUE"""),"2.54B")</f>
        <v>2.54B</v>
      </c>
      <c r="F58" s="73" t="str">
        <f>IFERROR(__xludf.DUMMYFUNCTION("""COMPUTED_VALUE"""),"2.51B")</f>
        <v>2.51B</v>
      </c>
      <c r="G58" s="73"/>
    </row>
    <row r="59">
      <c r="A59" s="141" t="str">
        <f>IFERROR(__xludf.DUMMYFUNCTION("""COMPUTED_VALUE"""),"EBITDA
EBITDA")</f>
        <v>EBITDA
EBITDA</v>
      </c>
      <c r="B59" s="73" t="str">
        <f>IFERROR(__xludf.DUMMYFUNCTION("""COMPUTED_VALUE"""),"18.83B")</f>
        <v>18.83B</v>
      </c>
      <c r="C59" s="73" t="str">
        <f>IFERROR(__xludf.DUMMYFUNCTION("""COMPUTED_VALUE"""),"23.41B")</f>
        <v>23.41B</v>
      </c>
      <c r="D59" s="73" t="str">
        <f>IFERROR(__xludf.DUMMYFUNCTION("""COMPUTED_VALUE"""),"6.85B")</f>
        <v>6.85B</v>
      </c>
      <c r="E59" s="73" t="str">
        <f>IFERROR(__xludf.DUMMYFUNCTION("""COMPUTED_VALUE"""),"25.14B")</f>
        <v>25.14B</v>
      </c>
      <c r="F59" s="73" t="str">
        <f>IFERROR(__xludf.DUMMYFUNCTION("""COMPUTED_VALUE"""),"29.32B")</f>
        <v>29.32B</v>
      </c>
      <c r="G59" s="73"/>
    </row>
    <row r="60">
      <c r="A60" s="141" t="str">
        <f>IFERROR(__xludf.DUMMYFUNCTION("""COMPUTED_VALUE"""),"EBITDA Growth
EBITDA Growth")</f>
        <v>EBITDA Growth
EBITDA Growth</v>
      </c>
      <c r="B60" s="73" t="str">
        <f>IFERROR(__xludf.DUMMYFUNCTION("""COMPUTED_VALUE"""),"-")</f>
        <v>-</v>
      </c>
      <c r="C60" s="72">
        <f>IFERROR(__xludf.DUMMYFUNCTION("""COMPUTED_VALUE"""),0.243)</f>
        <v>0.243</v>
      </c>
      <c r="D60" s="72">
        <f>IFERROR(__xludf.DUMMYFUNCTION("""COMPUTED_VALUE"""),-0.7072)</f>
        <v>-0.7072</v>
      </c>
      <c r="E60" s="72">
        <f>IFERROR(__xludf.DUMMYFUNCTION("""COMPUTED_VALUE"""),2.6684)</f>
        <v>2.6684</v>
      </c>
      <c r="F60" s="72">
        <f>IFERROR(__xludf.DUMMYFUNCTION("""COMPUTED_VALUE"""),0.1663)</f>
        <v>0.1663</v>
      </c>
      <c r="G60" s="73"/>
    </row>
    <row r="61">
      <c r="A61" s="141" t="str">
        <f>IFERROR(__xludf.DUMMYFUNCTION("""COMPUTED_VALUE"""),"EBITDA Margin
EBITDA Margin")</f>
        <v>EBITDA Margin
EBITDA Margin</v>
      </c>
      <c r="B61" s="73" t="str">
        <f>IFERROR(__xludf.DUMMYFUNCTION("""COMPUTED_VALUE"""),"-")</f>
        <v>-</v>
      </c>
      <c r="C61" s="73" t="str">
        <f>IFERROR(__xludf.DUMMYFUNCTION("""COMPUTED_VALUE"""),"-")</f>
        <v>-</v>
      </c>
      <c r="D61" s="73" t="str">
        <f>IFERROR(__xludf.DUMMYFUNCTION("""COMPUTED_VALUE"""),"-")</f>
        <v>-</v>
      </c>
      <c r="E61" s="73" t="str">
        <f>IFERROR(__xludf.DUMMYFUNCTION("""COMPUTED_VALUE"""),"-")</f>
        <v>-</v>
      </c>
      <c r="F61" s="72">
        <f>IFERROR(__xludf.DUMMYFUNCTION("""COMPUTED_VALUE"""),0.4517)</f>
        <v>0.4517</v>
      </c>
      <c r="G61" s="73"/>
    </row>
    <row r="65">
      <c r="A65" s="21"/>
    </row>
    <row r="68">
      <c r="A68" s="73" t="str">
        <f>IFERROR(__xludf.DUMMYFUNCTION("IMPORTHTML(CONCAT(CONCAT(""https://www.marketwatch.com/investing/stock/"",'Income Statement'!D1),""/financials/balance-sheet""),""table"",4)
"),"Item
Item")</f>
        <v>Item
Item</v>
      </c>
      <c r="B68" s="73">
        <f>IFERROR(__xludf.DUMMYFUNCTION("""COMPUTED_VALUE"""),2021.0)</f>
        <v>2021</v>
      </c>
      <c r="C68" s="73">
        <f>IFERROR(__xludf.DUMMYFUNCTION("""COMPUTED_VALUE"""),2022.0)</f>
        <v>2022</v>
      </c>
      <c r="D68" s="73">
        <f>IFERROR(__xludf.DUMMYFUNCTION("""COMPUTED_VALUE"""),2023.0)</f>
        <v>2023</v>
      </c>
      <c r="E68" s="73">
        <f>IFERROR(__xludf.DUMMYFUNCTION("""COMPUTED_VALUE"""),2024.0)</f>
        <v>2024</v>
      </c>
      <c r="F68" s="73">
        <f>IFERROR(__xludf.DUMMYFUNCTION("""COMPUTED_VALUE"""),2025.0)</f>
        <v>2025</v>
      </c>
      <c r="G68" s="73" t="str">
        <f>IFERROR(__xludf.DUMMYFUNCTION("""COMPUTED_VALUE"""),"5-year trend")</f>
        <v>5-year trend</v>
      </c>
    </row>
    <row r="69">
      <c r="A69" s="141" t="str">
        <f>IFERROR(__xludf.DUMMYFUNCTION("""COMPUTED_VALUE"""),"Cash &amp; Short Term Investments
Cash &amp; Short Term Investments")</f>
        <v>Cash &amp; Short Term Investments
Cash &amp; Short Term Investments</v>
      </c>
      <c r="B69" s="73" t="str">
        <f>IFERROR(__xludf.DUMMYFUNCTION("""COMPUTED_VALUE"""),"8.1B")</f>
        <v>8.1B</v>
      </c>
      <c r="C69" s="73" t="str">
        <f>IFERROR(__xludf.DUMMYFUNCTION("""COMPUTED_VALUE"""),"13.27B")</f>
        <v>13.27B</v>
      </c>
      <c r="D69" s="73" t="str">
        <f>IFERROR(__xludf.DUMMYFUNCTION("""COMPUTED_VALUE"""),"7.16B")</f>
        <v>7.16B</v>
      </c>
      <c r="E69" s="73" t="str">
        <f>IFERROR(__xludf.DUMMYFUNCTION("""COMPUTED_VALUE"""),"13.77B")</f>
        <v>13.77B</v>
      </c>
      <c r="F69" s="73" t="str">
        <f>IFERROR(__xludf.DUMMYFUNCTION("""COMPUTED_VALUE"""),"14.69B")</f>
        <v>14.69B</v>
      </c>
      <c r="G69" s="73"/>
    </row>
    <row r="70">
      <c r="A70" s="141" t="str">
        <f>IFERROR(__xludf.DUMMYFUNCTION("""COMPUTED_VALUE"""),"Cash &amp; Short Term Investments Growth
Cash &amp; Short Term Investments Growth")</f>
        <v>Cash &amp; Short Term Investments Growth
Cash &amp; Short Term Investments Growth</v>
      </c>
      <c r="B70" s="73" t="str">
        <f>IFERROR(__xludf.DUMMYFUNCTION("""COMPUTED_VALUE"""),"-")</f>
        <v>-</v>
      </c>
      <c r="C70" s="72">
        <f>IFERROR(__xludf.DUMMYFUNCTION("""COMPUTED_VALUE"""),0.6392)</f>
        <v>0.6392</v>
      </c>
      <c r="D70" s="72">
        <f>IFERROR(__xludf.DUMMYFUNCTION("""COMPUTED_VALUE"""),-0.4604)</f>
        <v>-0.4604</v>
      </c>
      <c r="E70" s="72">
        <f>IFERROR(__xludf.DUMMYFUNCTION("""COMPUTED_VALUE"""),0.9222)</f>
        <v>0.9222</v>
      </c>
      <c r="F70" s="72">
        <f>IFERROR(__xludf.DUMMYFUNCTION("""COMPUTED_VALUE"""),0.0672)</f>
        <v>0.0672</v>
      </c>
      <c r="G70" s="73"/>
    </row>
    <row r="71">
      <c r="A71" s="141" t="str">
        <f>IFERROR(__xludf.DUMMYFUNCTION("""COMPUTED_VALUE"""),"Cash Only
Cash Only")</f>
        <v>Cash Only
Cash Only</v>
      </c>
      <c r="B71" s="73" t="str">
        <f>IFERROR(__xludf.DUMMYFUNCTION("""COMPUTED_VALUE"""),"8.1B")</f>
        <v>8.1B</v>
      </c>
      <c r="C71" s="73" t="str">
        <f>IFERROR(__xludf.DUMMYFUNCTION("""COMPUTED_VALUE"""),"12.77B")</f>
        <v>12.77B</v>
      </c>
      <c r="D71" s="73" t="str">
        <f>IFERROR(__xludf.DUMMYFUNCTION("""COMPUTED_VALUE"""),"6.91B")</f>
        <v>6.91B</v>
      </c>
      <c r="E71" s="73" t="str">
        <f>IFERROR(__xludf.DUMMYFUNCTION("""COMPUTED_VALUE"""),"13.32B")</f>
        <v>13.32B</v>
      </c>
      <c r="F71" s="73" t="str">
        <f>IFERROR(__xludf.DUMMYFUNCTION("""COMPUTED_VALUE"""),"14.69B")</f>
        <v>14.69B</v>
      </c>
      <c r="G71" s="73"/>
    </row>
    <row r="72">
      <c r="A72" s="141" t="str">
        <f>IFERROR(__xludf.DUMMYFUNCTION("""COMPUTED_VALUE"""),"Short-Term Investments
Short-Term Investments")</f>
        <v>Short-Term Investments
Short-Term Investments</v>
      </c>
      <c r="B72" s="73" t="str">
        <f>IFERROR(__xludf.DUMMYFUNCTION("""COMPUTED_VALUE"""),"-")</f>
        <v>-</v>
      </c>
      <c r="C72" s="73" t="str">
        <f>IFERROR(__xludf.DUMMYFUNCTION("""COMPUTED_VALUE"""),"-")</f>
        <v>-</v>
      </c>
      <c r="D72" s="73" t="str">
        <f>IFERROR(__xludf.DUMMYFUNCTION("""COMPUTED_VALUE"""),"-")</f>
        <v>-</v>
      </c>
      <c r="E72" s="73" t="str">
        <f>IFERROR(__xludf.DUMMYFUNCTION("""COMPUTED_VALUE"""),"-")</f>
        <v>-</v>
      </c>
      <c r="F72" s="73" t="str">
        <f>IFERROR(__xludf.DUMMYFUNCTION("""COMPUTED_VALUE"""),"-")</f>
        <v>-</v>
      </c>
      <c r="G72" s="73"/>
    </row>
    <row r="73">
      <c r="A73" s="141" t="str">
        <f>IFERROR(__xludf.DUMMYFUNCTION("""COMPUTED_VALUE"""),"Cash &amp; ST Investments / Total Assets
Cash &amp; ST Investments / Total Assets")</f>
        <v>Cash &amp; ST Investments / Total Assets
Cash &amp; ST Investments / Total Assets</v>
      </c>
      <c r="B73" s="72">
        <f>IFERROR(__xludf.DUMMYFUNCTION("""COMPUTED_VALUE"""),0.0766)</f>
        <v>0.0766</v>
      </c>
      <c r="C73" s="72">
        <f>IFERROR(__xludf.DUMMYFUNCTION("""COMPUTED_VALUE"""),0.1216)</f>
        <v>0.1216</v>
      </c>
      <c r="D73" s="72">
        <f>IFERROR(__xludf.DUMMYFUNCTION("""COMPUTED_VALUE"""),0.0671)</f>
        <v>0.0671</v>
      </c>
      <c r="E73" s="72">
        <f>IFERROR(__xludf.DUMMYFUNCTION("""COMPUTED_VALUE"""),0.1175)</f>
        <v>0.1175</v>
      </c>
      <c r="F73" s="72">
        <f>IFERROR(__xludf.DUMMYFUNCTION("""COMPUTED_VALUE"""),0.1073)</f>
        <v>0.1073</v>
      </c>
      <c r="G73" s="73"/>
    </row>
    <row r="74">
      <c r="A74" s="141" t="str">
        <f>IFERROR(__xludf.DUMMYFUNCTION("""COMPUTED_VALUE"""),"Total Accounts Receivable
Total Accounts Receivable")</f>
        <v>Total Accounts Receivable
Total Accounts Receivable</v>
      </c>
      <c r="B74" s="73" t="str">
        <f>IFERROR(__xludf.DUMMYFUNCTION("""COMPUTED_VALUE"""),"9.82B")</f>
        <v>9.82B</v>
      </c>
      <c r="C74" s="73" t="str">
        <f>IFERROR(__xludf.DUMMYFUNCTION("""COMPUTED_VALUE"""),"10.11B")</f>
        <v>10.11B</v>
      </c>
      <c r="D74" s="73" t="str">
        <f>IFERROR(__xludf.DUMMYFUNCTION("""COMPUTED_VALUE"""),"11.07B")</f>
        <v>11.07B</v>
      </c>
      <c r="E74" s="73" t="str">
        <f>IFERROR(__xludf.DUMMYFUNCTION("""COMPUTED_VALUE"""),"11.13B")</f>
        <v>11.13B</v>
      </c>
      <c r="F74" s="73" t="str">
        <f>IFERROR(__xludf.DUMMYFUNCTION("""COMPUTED_VALUE"""),"12.68B")</f>
        <v>12.68B</v>
      </c>
      <c r="G74" s="73"/>
    </row>
    <row r="75">
      <c r="A75" s="143" t="str">
        <f>IFERROR(__xludf.DUMMYFUNCTION("""COMPUTED_VALUE"""),"Total Accounts Receivable Growth
Total Accounts Receivable Growth")</f>
        <v>Total Accounts Receivable Growth
Total Accounts Receivable Growth</v>
      </c>
      <c r="B75" s="73" t="str">
        <f>IFERROR(__xludf.DUMMYFUNCTION("""COMPUTED_VALUE"""),"-")</f>
        <v>-</v>
      </c>
      <c r="C75" s="72">
        <f>IFERROR(__xludf.DUMMYFUNCTION("""COMPUTED_VALUE"""),0.0301)</f>
        <v>0.0301</v>
      </c>
      <c r="D75" s="72">
        <f>IFERROR(__xludf.DUMMYFUNCTION("""COMPUTED_VALUE"""),0.0952)</f>
        <v>0.0952</v>
      </c>
      <c r="E75" s="72">
        <f>IFERROR(__xludf.DUMMYFUNCTION("""COMPUTED_VALUE"""),0.005)</f>
        <v>0.005</v>
      </c>
      <c r="F75" s="72">
        <f>IFERROR(__xludf.DUMMYFUNCTION("""COMPUTED_VALUE"""),0.1395)</f>
        <v>0.1395</v>
      </c>
      <c r="G75" s="73"/>
    </row>
    <row r="76">
      <c r="A76" s="141" t="str">
        <f>IFERROR(__xludf.DUMMYFUNCTION("""COMPUTED_VALUE"""),"Accounts Receivables, Net
Accounts Receivables, Net")</f>
        <v>Accounts Receivables, Net
Accounts Receivables, Net</v>
      </c>
      <c r="B76" s="73" t="str">
        <f>IFERROR(__xludf.DUMMYFUNCTION("""COMPUTED_VALUE"""),"9.23B")</f>
        <v>9.23B</v>
      </c>
      <c r="C76" s="73" t="str">
        <f>IFERROR(__xludf.DUMMYFUNCTION("""COMPUTED_VALUE"""),"9.45B")</f>
        <v>9.45B</v>
      </c>
      <c r="D76" s="73" t="str">
        <f>IFERROR(__xludf.DUMMYFUNCTION("""COMPUTED_VALUE"""),"10.35B")</f>
        <v>10.35B</v>
      </c>
      <c r="E76" s="73" t="str">
        <f>IFERROR(__xludf.DUMMYFUNCTION("""COMPUTED_VALUE"""),"10.28B")</f>
        <v>10.28B</v>
      </c>
      <c r="F76" s="73" t="str">
        <f>IFERROR(__xludf.DUMMYFUNCTION("""COMPUTED_VALUE"""),"11.78B")</f>
        <v>11.78B</v>
      </c>
      <c r="G76" s="73"/>
    </row>
    <row r="77">
      <c r="A77" s="141" t="str">
        <f>IFERROR(__xludf.DUMMYFUNCTION("""COMPUTED_VALUE"""),"Accounts Receivables, Gross
Accounts Receivables, Gross")</f>
        <v>Accounts Receivables, Gross
Accounts Receivables, Gross</v>
      </c>
      <c r="B77" s="73" t="str">
        <f>IFERROR(__xludf.DUMMYFUNCTION("""COMPUTED_VALUE"""),"9.29B")</f>
        <v>9.29B</v>
      </c>
      <c r="C77" s="73" t="str">
        <f>IFERROR(__xludf.DUMMYFUNCTION("""COMPUTED_VALUE"""),"9.52B")</f>
        <v>9.52B</v>
      </c>
      <c r="D77" s="73" t="str">
        <f>IFERROR(__xludf.DUMMYFUNCTION("""COMPUTED_VALUE"""),"10.44B")</f>
        <v>10.44B</v>
      </c>
      <c r="E77" s="73" t="str">
        <f>IFERROR(__xludf.DUMMYFUNCTION("""COMPUTED_VALUE"""),"10.37B")</f>
        <v>10.37B</v>
      </c>
      <c r="F77" s="73" t="str">
        <f>IFERROR(__xludf.DUMMYFUNCTION("""COMPUTED_VALUE"""),"11.87B")</f>
        <v>11.87B</v>
      </c>
      <c r="G77" s="73"/>
    </row>
    <row r="78">
      <c r="A78" s="141" t="str">
        <f>IFERROR(__xludf.DUMMYFUNCTION("""COMPUTED_VALUE"""),"Bad Debt/Doubtful Accounts
Bad Debt/Doubtful Accounts")</f>
        <v>Bad Debt/Doubtful Accounts
Bad Debt/Doubtful Accounts</v>
      </c>
      <c r="B78" s="73" t="str">
        <f>IFERROR(__xludf.DUMMYFUNCTION("""COMPUTED_VALUE"""),"(62M)")</f>
        <v>(62M)</v>
      </c>
      <c r="C78" s="73" t="str">
        <f>IFERROR(__xludf.DUMMYFUNCTION("""COMPUTED_VALUE"""),"(72M)")</f>
        <v>(72M)</v>
      </c>
      <c r="D78" s="73" t="str">
        <f>IFERROR(__xludf.DUMMYFUNCTION("""COMPUTED_VALUE"""),"(88M)")</f>
        <v>(88M)</v>
      </c>
      <c r="E78" s="73" t="str">
        <f>IFERROR(__xludf.DUMMYFUNCTION("""COMPUTED_VALUE"""),"(89M)")</f>
        <v>(89M)</v>
      </c>
      <c r="F78" s="73" t="str">
        <f>IFERROR(__xludf.DUMMYFUNCTION("""COMPUTED_VALUE"""),"(97M)")</f>
        <v>(97M)</v>
      </c>
      <c r="G78" s="73"/>
    </row>
    <row r="79">
      <c r="A79" s="141" t="str">
        <f>IFERROR(__xludf.DUMMYFUNCTION("""COMPUTED_VALUE"""),"Other Receivable
Other Receivable")</f>
        <v>Other Receivable
Other Receivable</v>
      </c>
      <c r="B79" s="73" t="str">
        <f>IFERROR(__xludf.DUMMYFUNCTION("""COMPUTED_VALUE"""),"585M")</f>
        <v>585M</v>
      </c>
      <c r="C79" s="73" t="str">
        <f>IFERROR(__xludf.DUMMYFUNCTION("""COMPUTED_VALUE"""),"660M")</f>
        <v>660M</v>
      </c>
      <c r="D79" s="73" t="str">
        <f>IFERROR(__xludf.DUMMYFUNCTION("""COMPUTED_VALUE"""),"723M")</f>
        <v>723M</v>
      </c>
      <c r="E79" s="73" t="str">
        <f>IFERROR(__xludf.DUMMYFUNCTION("""COMPUTED_VALUE"""),"849M")</f>
        <v>849M</v>
      </c>
      <c r="F79" s="73" t="str">
        <f>IFERROR(__xludf.DUMMYFUNCTION("""COMPUTED_VALUE"""),"904M")</f>
        <v>904M</v>
      </c>
      <c r="G79" s="73"/>
    </row>
    <row r="80">
      <c r="A80" s="141" t="str">
        <f>IFERROR(__xludf.DUMMYFUNCTION("""COMPUTED_VALUE"""),"Accounts Receivable Turnover
Accounts Receivable Turnover")</f>
        <v>Accounts Receivable Turnover
Accounts Receivable Turnover</v>
      </c>
      <c r="B80" s="73">
        <f>IFERROR(__xludf.DUMMYFUNCTION("""COMPUTED_VALUE"""),4.98)</f>
        <v>4.98</v>
      </c>
      <c r="C80" s="73">
        <f>IFERROR(__xludf.DUMMYFUNCTION("""COMPUTED_VALUE"""),5.78)</f>
        <v>5.78</v>
      </c>
      <c r="D80" s="73">
        <f>IFERROR(__xludf.DUMMYFUNCTION("""COMPUTED_VALUE"""),5.41)</f>
        <v>5.41</v>
      </c>
      <c r="E80" s="73">
        <f>IFERROR(__xludf.DUMMYFUNCTION("""COMPUTED_VALUE"""),5.75)</f>
        <v>5.75</v>
      </c>
      <c r="F80" s="73">
        <f>IFERROR(__xludf.DUMMYFUNCTION("""COMPUTED_VALUE"""),5.12)</f>
        <v>5.12</v>
      </c>
      <c r="G80" s="73"/>
    </row>
    <row r="81">
      <c r="A81" s="141" t="str">
        <f>IFERROR(__xludf.DUMMYFUNCTION("""COMPUTED_VALUE"""),"Inventories
Inventories")</f>
        <v>Inventories
Inventories</v>
      </c>
      <c r="B81" s="73" t="str">
        <f>IFERROR(__xludf.DUMMYFUNCTION("""COMPUTED_VALUE"""),"5.95B")</f>
        <v>5.95B</v>
      </c>
      <c r="C81" s="73" t="str">
        <f>IFERROR(__xludf.DUMMYFUNCTION("""COMPUTED_VALUE"""),"5.91B")</f>
        <v>5.91B</v>
      </c>
      <c r="D81" s="73" t="str">
        <f>IFERROR(__xludf.DUMMYFUNCTION("""COMPUTED_VALUE"""),"6.36B")</f>
        <v>6.36B</v>
      </c>
      <c r="E81" s="73" t="str">
        <f>IFERROR(__xludf.DUMMYFUNCTION("""COMPUTED_VALUE"""),"6.11B")</f>
        <v>6.11B</v>
      </c>
      <c r="F81" s="73" t="str">
        <f>IFERROR(__xludf.DUMMYFUNCTION("""COMPUTED_VALUE"""),"6.66B")</f>
        <v>6.66B</v>
      </c>
      <c r="G81" s="73"/>
    </row>
    <row r="82">
      <c r="A82" s="141" t="str">
        <f>IFERROR(__xludf.DUMMYFUNCTION("""COMPUTED_VALUE"""),"Finished Goods
Finished Goods")</f>
        <v>Finished Goods
Finished Goods</v>
      </c>
      <c r="B82" s="73" t="str">
        <f>IFERROR(__xludf.DUMMYFUNCTION("""COMPUTED_VALUE"""),"1.75B")</f>
        <v>1.75B</v>
      </c>
      <c r="C82" s="73" t="str">
        <f>IFERROR(__xludf.DUMMYFUNCTION("""COMPUTED_VALUE"""),"1.84B")</f>
        <v>1.84B</v>
      </c>
      <c r="D82" s="73" t="str">
        <f>IFERROR(__xludf.DUMMYFUNCTION("""COMPUTED_VALUE"""),"1.95B")</f>
        <v>1.95B</v>
      </c>
      <c r="E82" s="73" t="str">
        <f>IFERROR(__xludf.DUMMYFUNCTION("""COMPUTED_VALUE"""),"2.02B")</f>
        <v>2.02B</v>
      </c>
      <c r="F82" s="73" t="str">
        <f>IFERROR(__xludf.DUMMYFUNCTION("""COMPUTED_VALUE"""),"2.28B")</f>
        <v>2.28B</v>
      </c>
      <c r="G82" s="73"/>
    </row>
    <row r="83">
      <c r="A83" s="141" t="str">
        <f>IFERROR(__xludf.DUMMYFUNCTION("""COMPUTED_VALUE"""),"Work in Progress
Work in Progress")</f>
        <v>Work in Progress
Work in Progress</v>
      </c>
      <c r="B83" s="73" t="str">
        <f>IFERROR(__xludf.DUMMYFUNCTION("""COMPUTED_VALUE"""),"-")</f>
        <v>-</v>
      </c>
      <c r="C83" s="73" t="str">
        <f>IFERROR(__xludf.DUMMYFUNCTION("""COMPUTED_VALUE"""),"-")</f>
        <v>-</v>
      </c>
      <c r="D83" s="73" t="str">
        <f>IFERROR(__xludf.DUMMYFUNCTION("""COMPUTED_VALUE"""),"-")</f>
        <v>-</v>
      </c>
      <c r="E83" s="73" t="str">
        <f>IFERROR(__xludf.DUMMYFUNCTION("""COMPUTED_VALUE"""),"-")</f>
        <v>-</v>
      </c>
      <c r="F83" s="73" t="str">
        <f>IFERROR(__xludf.DUMMYFUNCTION("""COMPUTED_VALUE"""),"-")</f>
        <v>-</v>
      </c>
      <c r="G83" s="73"/>
    </row>
    <row r="84">
      <c r="A84" s="141" t="str">
        <f>IFERROR(__xludf.DUMMYFUNCTION("""COMPUTED_VALUE"""),"Raw Materials
Raw Materials")</f>
        <v>Raw Materials
Raw Materials</v>
      </c>
      <c r="B84" s="73" t="str">
        <f>IFERROR(__xludf.DUMMYFUNCTION("""COMPUTED_VALUE"""),"4.22B")</f>
        <v>4.22B</v>
      </c>
      <c r="C84" s="73" t="str">
        <f>IFERROR(__xludf.DUMMYFUNCTION("""COMPUTED_VALUE"""),"4.36B")</f>
        <v>4.36B</v>
      </c>
      <c r="D84" s="73" t="str">
        <f>IFERROR(__xludf.DUMMYFUNCTION("""COMPUTED_VALUE"""),"4.97B")</f>
        <v>4.97B</v>
      </c>
      <c r="E84" s="73" t="str">
        <f>IFERROR(__xludf.DUMMYFUNCTION("""COMPUTED_VALUE"""),"4.93B")</f>
        <v>4.93B</v>
      </c>
      <c r="F84" s="73" t="str">
        <f>IFERROR(__xludf.DUMMYFUNCTION("""COMPUTED_VALUE"""),"5.3B")</f>
        <v>5.3B</v>
      </c>
      <c r="G84" s="73"/>
    </row>
    <row r="85">
      <c r="A85" s="141" t="str">
        <f>IFERROR(__xludf.DUMMYFUNCTION("""COMPUTED_VALUE"""),"Progress Payments &amp; Other
Progress Payments &amp; Other")</f>
        <v>Progress Payments &amp; Other
Progress Payments &amp; Other</v>
      </c>
      <c r="B85" s="73" t="str">
        <f>IFERROR(__xludf.DUMMYFUNCTION("""COMPUTED_VALUE"""),"(16M)")</f>
        <v>(16M)</v>
      </c>
      <c r="C85" s="73" t="str">
        <f>IFERROR(__xludf.DUMMYFUNCTION("""COMPUTED_VALUE"""),"(293M)")</f>
        <v>(293M)</v>
      </c>
      <c r="D85" s="73" t="str">
        <f>IFERROR(__xludf.DUMMYFUNCTION("""COMPUTED_VALUE"""),"(562M)")</f>
        <v>(562M)</v>
      </c>
      <c r="E85" s="73" t="str">
        <f>IFERROR(__xludf.DUMMYFUNCTION("""COMPUTED_VALUE"""),"(840M)")</f>
        <v>(840M)</v>
      </c>
      <c r="F85" s="73" t="str">
        <f>IFERROR(__xludf.DUMMYFUNCTION("""COMPUTED_VALUE"""),"(912M)")</f>
        <v>(912M)</v>
      </c>
      <c r="G85" s="73"/>
    </row>
    <row r="86">
      <c r="A86" s="141" t="str">
        <f>IFERROR(__xludf.DUMMYFUNCTION("""COMPUTED_VALUE"""),"Other Current Assets
Other Current Assets")</f>
        <v>Other Current Assets
Other Current Assets</v>
      </c>
      <c r="B86" s="73" t="str">
        <f>IFERROR(__xludf.DUMMYFUNCTION("""COMPUTED_VALUE"""),"6.4B")</f>
        <v>6.4B</v>
      </c>
      <c r="C86" s="73" t="str">
        <f>IFERROR(__xludf.DUMMYFUNCTION("""COMPUTED_VALUE"""),"6.43B")</f>
        <v>6.43B</v>
      </c>
      <c r="D86" s="73" t="str">
        <f>IFERROR(__xludf.DUMMYFUNCTION("""COMPUTED_VALUE"""),"7.58B")</f>
        <v>7.58B</v>
      </c>
      <c r="E86" s="73" t="str">
        <f>IFERROR(__xludf.DUMMYFUNCTION("""COMPUTED_VALUE"""),"7.78B")</f>
        <v>7.78B</v>
      </c>
      <c r="F86" s="73" t="str">
        <f>IFERROR(__xludf.DUMMYFUNCTION("""COMPUTED_VALUE"""),"9.49B")</f>
        <v>9.49B</v>
      </c>
      <c r="G86" s="73"/>
    </row>
    <row r="87">
      <c r="A87" s="141" t="str">
        <f>IFERROR(__xludf.DUMMYFUNCTION("""COMPUTED_VALUE"""),"Miscellaneous Current Assets
Miscellaneous Current Assets")</f>
        <v>Miscellaneous Current Assets
Miscellaneous Current Assets</v>
      </c>
      <c r="B87" s="73" t="str">
        <f>IFERROR(__xludf.DUMMYFUNCTION("""COMPUTED_VALUE"""),"6.4B")</f>
        <v>6.4B</v>
      </c>
      <c r="C87" s="73" t="str">
        <f>IFERROR(__xludf.DUMMYFUNCTION("""COMPUTED_VALUE"""),"6.43B")</f>
        <v>6.43B</v>
      </c>
      <c r="D87" s="73" t="str">
        <f>IFERROR(__xludf.DUMMYFUNCTION("""COMPUTED_VALUE"""),"7.58B")</f>
        <v>7.58B</v>
      </c>
      <c r="E87" s="73" t="str">
        <f>IFERROR(__xludf.DUMMYFUNCTION("""COMPUTED_VALUE"""),"7.78B")</f>
        <v>7.78B</v>
      </c>
      <c r="F87" s="73" t="str">
        <f>IFERROR(__xludf.DUMMYFUNCTION("""COMPUTED_VALUE"""),"9.49B")</f>
        <v>9.49B</v>
      </c>
      <c r="G87" s="73"/>
    </row>
    <row r="88">
      <c r="A88" s="141" t="str">
        <f>IFERROR(__xludf.DUMMYFUNCTION("""COMPUTED_VALUE"""),"Total Current Assets
Total Current Assets")</f>
        <v>Total Current Assets
Total Current Assets</v>
      </c>
      <c r="B88" s="73" t="str">
        <f>IFERROR(__xludf.DUMMYFUNCTION("""COMPUTED_VALUE"""),"30.27B")</f>
        <v>30.27B</v>
      </c>
      <c r="C88" s="73" t="str">
        <f>IFERROR(__xludf.DUMMYFUNCTION("""COMPUTED_VALUE"""),"35.72B")</f>
        <v>35.72B</v>
      </c>
      <c r="D88" s="73" t="str">
        <f>IFERROR(__xludf.DUMMYFUNCTION("""COMPUTED_VALUE"""),"32.17B")</f>
        <v>32.17B</v>
      </c>
      <c r="E88" s="73" t="str">
        <f>IFERROR(__xludf.DUMMYFUNCTION("""COMPUTED_VALUE"""),"38.78B")</f>
        <v>38.78B</v>
      </c>
      <c r="F88" s="73" t="str">
        <f>IFERROR(__xludf.DUMMYFUNCTION("""COMPUTED_VALUE"""),"43.52B")</f>
        <v>43.52B</v>
      </c>
      <c r="G88" s="73"/>
    </row>
    <row r="89">
      <c r="A89" s="141" t="str">
        <f>IFERROR(__xludf.DUMMYFUNCTION("""COMPUTED_VALUE"""),"Net Property, Plant &amp; Equipment
Net Property, Plant &amp; Equipment")</f>
        <v>Net Property, Plant &amp; Equipment
Net Property, Plant &amp; Equipment</v>
      </c>
      <c r="B89" s="73" t="str">
        <f>IFERROR(__xludf.DUMMYFUNCTION("""COMPUTED_VALUE"""),"20.87B")</f>
        <v>20.87B</v>
      </c>
      <c r="C89" s="73" t="str">
        <f>IFERROR(__xludf.DUMMYFUNCTION("""COMPUTED_VALUE"""),"22.77B")</f>
        <v>22.77B</v>
      </c>
      <c r="D89" s="73" t="str">
        <f>IFERROR(__xludf.DUMMYFUNCTION("""COMPUTED_VALUE"""),"24.49B")</f>
        <v>24.49B</v>
      </c>
      <c r="E89" s="73" t="str">
        <f>IFERROR(__xludf.DUMMYFUNCTION("""COMPUTED_VALUE"""),"25.15B")</f>
        <v>25.15B</v>
      </c>
      <c r="F89" s="73" t="str">
        <f>IFERROR(__xludf.DUMMYFUNCTION("""COMPUTED_VALUE"""),"26.82B")</f>
        <v>26.82B</v>
      </c>
      <c r="G89" s="73"/>
    </row>
    <row r="90">
      <c r="A90" s="141" t="str">
        <f>IFERROR(__xludf.DUMMYFUNCTION("""COMPUTED_VALUE"""),"Property, Plant &amp; Equipment - Gross
Property, Plant &amp; Equipment - Gross")</f>
        <v>Property, Plant &amp; Equipment - Gross
Property, Plant &amp; Equipment - Gross</v>
      </c>
      <c r="B90" s="73" t="str">
        <f>IFERROR(__xludf.DUMMYFUNCTION("""COMPUTED_VALUE"""),"39.06B")</f>
        <v>39.06B</v>
      </c>
      <c r="C90" s="73" t="str">
        <f>IFERROR(__xludf.DUMMYFUNCTION("""COMPUTED_VALUE"""),"40.75B")</f>
        <v>40.75B</v>
      </c>
      <c r="D90" s="73" t="str">
        <f>IFERROR(__xludf.DUMMYFUNCTION("""COMPUTED_VALUE"""),"42.75B")</f>
        <v>42.75B</v>
      </c>
      <c r="E90" s="73" t="str">
        <f>IFERROR(__xludf.DUMMYFUNCTION("""COMPUTED_VALUE"""),"44.3B")</f>
        <v>44.3B</v>
      </c>
      <c r="F90" s="73" t="str">
        <f>IFERROR(__xludf.DUMMYFUNCTION("""COMPUTED_VALUE"""),"48.74B")</f>
        <v>48.74B</v>
      </c>
      <c r="G90" s="73"/>
    </row>
    <row r="91">
      <c r="A91" s="141" t="str">
        <f>IFERROR(__xludf.DUMMYFUNCTION("""COMPUTED_VALUE"""),"Buildings
Buildings")</f>
        <v>Buildings
Buildings</v>
      </c>
      <c r="B91" s="73" t="str">
        <f>IFERROR(__xludf.DUMMYFUNCTION("""COMPUTED_VALUE"""),"12.53B")</f>
        <v>12.53B</v>
      </c>
      <c r="C91" s="73" t="str">
        <f>IFERROR(__xludf.DUMMYFUNCTION("""COMPUTED_VALUE"""),"13.17B")</f>
        <v>13.17B</v>
      </c>
      <c r="D91" s="73" t="str">
        <f>IFERROR(__xludf.DUMMYFUNCTION("""COMPUTED_VALUE"""),"14.97B")</f>
        <v>14.97B</v>
      </c>
      <c r="E91" s="73" t="str">
        <f>IFERROR(__xludf.DUMMYFUNCTION("""COMPUTED_VALUE"""),"16.36B")</f>
        <v>16.36B</v>
      </c>
      <c r="F91" s="73" t="str">
        <f>IFERROR(__xludf.DUMMYFUNCTION("""COMPUTED_VALUE"""),"17.98B")</f>
        <v>17.98B</v>
      </c>
      <c r="G91" s="73"/>
    </row>
    <row r="92">
      <c r="A92" s="141" t="str">
        <f>IFERROR(__xludf.DUMMYFUNCTION("""COMPUTED_VALUE"""),"Land &amp; Improvements
Land &amp; Improvements")</f>
        <v>Land &amp; Improvements
Land &amp; Improvements</v>
      </c>
      <c r="B92" s="73" t="str">
        <f>IFERROR(__xludf.DUMMYFUNCTION("""COMPUTED_VALUE"""),"326M")</f>
        <v>326M</v>
      </c>
      <c r="C92" s="73" t="str">
        <f>IFERROR(__xludf.DUMMYFUNCTION("""COMPUTED_VALUE"""),"295M")</f>
        <v>295M</v>
      </c>
      <c r="D92" s="73" t="str">
        <f>IFERROR(__xludf.DUMMYFUNCTION("""COMPUTED_VALUE"""),"326M")</f>
        <v>326M</v>
      </c>
      <c r="E92" s="73" t="str">
        <f>IFERROR(__xludf.DUMMYFUNCTION("""COMPUTED_VALUE"""),"307M")</f>
        <v>307M</v>
      </c>
      <c r="F92" s="73" t="str">
        <f>IFERROR(__xludf.DUMMYFUNCTION("""COMPUTED_VALUE"""),"321M")</f>
        <v>321M</v>
      </c>
      <c r="G92" s="73"/>
    </row>
    <row r="93">
      <c r="A93" s="141" t="str">
        <f>IFERROR(__xludf.DUMMYFUNCTION("""COMPUTED_VALUE"""),"Computer Software and Equipment
Computer Software and Equipment")</f>
        <v>Computer Software and Equipment
Computer Software and Equipment</v>
      </c>
      <c r="B93" s="73" t="str">
        <f>IFERROR(__xludf.DUMMYFUNCTION("""COMPUTED_VALUE"""),"-")</f>
        <v>-</v>
      </c>
      <c r="C93" s="73" t="str">
        <f>IFERROR(__xludf.DUMMYFUNCTION("""COMPUTED_VALUE"""),"-")</f>
        <v>-</v>
      </c>
      <c r="D93" s="73" t="str">
        <f>IFERROR(__xludf.DUMMYFUNCTION("""COMPUTED_VALUE"""),"-")</f>
        <v>-</v>
      </c>
      <c r="E93" s="73" t="str">
        <f>IFERROR(__xludf.DUMMYFUNCTION("""COMPUTED_VALUE"""),"-")</f>
        <v>-</v>
      </c>
      <c r="F93" s="73" t="str">
        <f>IFERROR(__xludf.DUMMYFUNCTION("""COMPUTED_VALUE"""),"-")</f>
        <v>-</v>
      </c>
      <c r="G93" s="73"/>
    </row>
    <row r="94">
      <c r="A94" s="141" t="str">
        <f>IFERROR(__xludf.DUMMYFUNCTION("""COMPUTED_VALUE"""),"Other Property, Plant &amp; Equipment
Other Property, Plant &amp; Equipment")</f>
        <v>Other Property, Plant &amp; Equipment
Other Property, Plant &amp; Equipment</v>
      </c>
      <c r="B94" s="73" t="str">
        <f>IFERROR(__xludf.DUMMYFUNCTION("""COMPUTED_VALUE"""),"-")</f>
        <v>-</v>
      </c>
      <c r="C94" s="73" t="str">
        <f>IFERROR(__xludf.DUMMYFUNCTION("""COMPUTED_VALUE"""),"-")</f>
        <v>-</v>
      </c>
      <c r="D94" s="73" t="str">
        <f>IFERROR(__xludf.DUMMYFUNCTION("""COMPUTED_VALUE"""),"-")</f>
        <v>-</v>
      </c>
      <c r="E94" s="73" t="str">
        <f>IFERROR(__xludf.DUMMYFUNCTION("""COMPUTED_VALUE"""),"-")</f>
        <v>-</v>
      </c>
      <c r="F94" s="73" t="str">
        <f>IFERROR(__xludf.DUMMYFUNCTION("""COMPUTED_VALUE"""),"-")</f>
        <v>-</v>
      </c>
      <c r="G94" s="73"/>
    </row>
    <row r="95">
      <c r="A95" s="141" t="str">
        <f>IFERROR(__xludf.DUMMYFUNCTION("""COMPUTED_VALUE"""),"Accumulated Depreciation
Accumulated Depreciation")</f>
        <v>Accumulated Depreciation
Accumulated Depreciation</v>
      </c>
      <c r="B95" s="73" t="str">
        <f>IFERROR(__xludf.DUMMYFUNCTION("""COMPUTED_VALUE"""),"18.19B")</f>
        <v>18.19B</v>
      </c>
      <c r="C95" s="73" t="str">
        <f>IFERROR(__xludf.DUMMYFUNCTION("""COMPUTED_VALUE"""),"17.99B")</f>
        <v>17.99B</v>
      </c>
      <c r="D95" s="73" t="str">
        <f>IFERROR(__xludf.DUMMYFUNCTION("""COMPUTED_VALUE"""),"18.27B")</f>
        <v>18.27B</v>
      </c>
      <c r="E95" s="73" t="str">
        <f>IFERROR(__xludf.DUMMYFUNCTION("""COMPUTED_VALUE"""),"19.16B")</f>
        <v>19.16B</v>
      </c>
      <c r="F95" s="73" t="str">
        <f>IFERROR(__xludf.DUMMYFUNCTION("""COMPUTED_VALUE"""),"21.91B")</f>
        <v>21.91B</v>
      </c>
      <c r="G95" s="73"/>
    </row>
    <row r="96">
      <c r="A96" s="73" t="str">
        <f>IFERROR(__xludf.DUMMYFUNCTION("""COMPUTED_VALUE"""),"Total Investments and Advances
Total Investments and Advances")</f>
        <v>Total Investments and Advances
Total Investments and Advances</v>
      </c>
      <c r="B96" s="73" t="str">
        <f>IFERROR(__xludf.DUMMYFUNCTION("""COMPUTED_VALUE"""),"1.08B")</f>
        <v>1.08B</v>
      </c>
      <c r="C96" s="73" t="str">
        <f>IFERROR(__xludf.DUMMYFUNCTION("""COMPUTED_VALUE"""),"1.95B")</f>
        <v>1.95B</v>
      </c>
      <c r="D96" s="73" t="str">
        <f>IFERROR(__xludf.DUMMYFUNCTION("""COMPUTED_VALUE"""),"1.58B")</f>
        <v>1.58B</v>
      </c>
      <c r="E96" s="73" t="str">
        <f>IFERROR(__xludf.DUMMYFUNCTION("""COMPUTED_VALUE"""),"1.68B")</f>
        <v>1.68B</v>
      </c>
      <c r="F96" s="73" t="str">
        <f>IFERROR(__xludf.DUMMYFUNCTION("""COMPUTED_VALUE"""),"2.11B")</f>
        <v>2.11B</v>
      </c>
      <c r="G96" s="73"/>
    </row>
    <row r="97">
      <c r="A97" s="73" t="str">
        <f>IFERROR(__xludf.DUMMYFUNCTION("""COMPUTED_VALUE"""),"Other Long-Term Investments
Other Long-Term Investments")</f>
        <v>Other Long-Term Investments
Other Long-Term Investments</v>
      </c>
      <c r="B97" s="73" t="str">
        <f>IFERROR(__xludf.DUMMYFUNCTION("""COMPUTED_VALUE"""),"1.08B")</f>
        <v>1.08B</v>
      </c>
      <c r="C97" s="73" t="str">
        <f>IFERROR(__xludf.DUMMYFUNCTION("""COMPUTED_VALUE"""),"1.95B")</f>
        <v>1.95B</v>
      </c>
      <c r="D97" s="73" t="str">
        <f>IFERROR(__xludf.DUMMYFUNCTION("""COMPUTED_VALUE"""),"1.17B")</f>
        <v>1.17B</v>
      </c>
      <c r="E97" s="73" t="str">
        <f>IFERROR(__xludf.DUMMYFUNCTION("""COMPUTED_VALUE"""),"1.41B")</f>
        <v>1.41B</v>
      </c>
      <c r="F97" s="73" t="str">
        <f>IFERROR(__xludf.DUMMYFUNCTION("""COMPUTED_VALUE"""),"1.89B")</f>
        <v>1.89B</v>
      </c>
      <c r="G97" s="73"/>
    </row>
    <row r="98">
      <c r="A98" s="73" t="str">
        <f>IFERROR(__xludf.DUMMYFUNCTION("""COMPUTED_VALUE"""),"Long-Term Note Receivables
Long-Term Note Receivables")</f>
        <v>Long-Term Note Receivables
Long-Term Note Receivables</v>
      </c>
      <c r="B98" s="73" t="str">
        <f>IFERROR(__xludf.DUMMYFUNCTION("""COMPUTED_VALUE"""),"-")</f>
        <v>-</v>
      </c>
      <c r="C98" s="73" t="str">
        <f>IFERROR(__xludf.DUMMYFUNCTION("""COMPUTED_VALUE"""),"-")</f>
        <v>-</v>
      </c>
      <c r="D98" s="73" t="str">
        <f>IFERROR(__xludf.DUMMYFUNCTION("""COMPUTED_VALUE"""),"-")</f>
        <v>-</v>
      </c>
      <c r="E98" s="73" t="str">
        <f>IFERROR(__xludf.DUMMYFUNCTION("""COMPUTED_VALUE"""),"-")</f>
        <v>-</v>
      </c>
      <c r="F98" s="73" t="str">
        <f>IFERROR(__xludf.DUMMYFUNCTION("""COMPUTED_VALUE"""),"125M")</f>
        <v>125M</v>
      </c>
      <c r="G98" s="73"/>
    </row>
    <row r="99">
      <c r="A99" s="73" t="str">
        <f>IFERROR(__xludf.DUMMYFUNCTION("""COMPUTED_VALUE"""),"Intangible Assets
Intangible Assets")</f>
        <v>Intangible Assets
Intangible Assets</v>
      </c>
      <c r="B99" s="73" t="str">
        <f>IFERROR(__xludf.DUMMYFUNCTION("""COMPUTED_VALUE"""),"44.2B")</f>
        <v>44.2B</v>
      </c>
      <c r="C99" s="73" t="str">
        <f>IFERROR(__xludf.DUMMYFUNCTION("""COMPUTED_VALUE"""),"41.47B")</f>
        <v>41.47B</v>
      </c>
      <c r="D99" s="73" t="str">
        <f>IFERROR(__xludf.DUMMYFUNCTION("""COMPUTED_VALUE"""),"39.21B")</f>
        <v>39.21B</v>
      </c>
      <c r="E99" s="73" t="str">
        <f>IFERROR(__xludf.DUMMYFUNCTION("""COMPUTED_VALUE"""),"38.04B")</f>
        <v>38.04B</v>
      </c>
      <c r="F99" s="73" t="str">
        <f>IFERROR(__xludf.DUMMYFUNCTION("""COMPUTED_VALUE"""),"48.26B")</f>
        <v>48.26B</v>
      </c>
      <c r="G99" s="73"/>
    </row>
    <row r="100">
      <c r="A100" s="73" t="str">
        <f>IFERROR(__xludf.DUMMYFUNCTION("""COMPUTED_VALUE"""),"Net Goodwill
Net Goodwill")</f>
        <v>Net Goodwill
Net Goodwill</v>
      </c>
      <c r="B100" s="73" t="str">
        <f>IFERROR(__xludf.DUMMYFUNCTION("""COMPUTED_VALUE"""),"21.26B")</f>
        <v>21.26B</v>
      </c>
      <c r="C100" s="73" t="str">
        <f>IFERROR(__xludf.DUMMYFUNCTION("""COMPUTED_VALUE"""),"21.2B")</f>
        <v>21.2B</v>
      </c>
      <c r="D100" s="73" t="str">
        <f>IFERROR(__xludf.DUMMYFUNCTION("""COMPUTED_VALUE"""),"21.2B")</f>
        <v>21.2B</v>
      </c>
      <c r="E100" s="73" t="str">
        <f>IFERROR(__xludf.DUMMYFUNCTION("""COMPUTED_VALUE"""),"21.67B")</f>
        <v>21.67B</v>
      </c>
      <c r="F100" s="73" t="str">
        <f>IFERROR(__xludf.DUMMYFUNCTION("""COMPUTED_VALUE"""),"21.58B")</f>
        <v>21.58B</v>
      </c>
      <c r="G100" s="73"/>
    </row>
    <row r="101">
      <c r="A101" s="73" t="str">
        <f>IFERROR(__xludf.DUMMYFUNCTION("""COMPUTED_VALUE"""),"Net Other Intangibles
Net Other Intangibles")</f>
        <v>Net Other Intangibles
Net Other Intangibles</v>
      </c>
      <c r="B101" s="73" t="str">
        <f>IFERROR(__xludf.DUMMYFUNCTION("""COMPUTED_VALUE"""),"22.93B")</f>
        <v>22.93B</v>
      </c>
      <c r="C101" s="73" t="str">
        <f>IFERROR(__xludf.DUMMYFUNCTION("""COMPUTED_VALUE"""),"20.27B")</f>
        <v>20.27B</v>
      </c>
      <c r="D101" s="73" t="str">
        <f>IFERROR(__xludf.DUMMYFUNCTION("""COMPUTED_VALUE"""),"18.01B")</f>
        <v>18.01B</v>
      </c>
      <c r="E101" s="73" t="str">
        <f>IFERROR(__xludf.DUMMYFUNCTION("""COMPUTED_VALUE"""),"16.37B")</f>
        <v>16.37B</v>
      </c>
      <c r="F101" s="73" t="str">
        <f>IFERROR(__xludf.DUMMYFUNCTION("""COMPUTED_VALUE"""),"26.68B")</f>
        <v>26.68B</v>
      </c>
      <c r="G101" s="73"/>
    </row>
    <row r="102">
      <c r="A102" s="73" t="str">
        <f>IFERROR(__xludf.DUMMYFUNCTION("""COMPUTED_VALUE"""),"Other Assets
Other Assets")</f>
        <v>Other Assets
Other Assets</v>
      </c>
      <c r="B102" s="73" t="str">
        <f>IFERROR(__xludf.DUMMYFUNCTION("""COMPUTED_VALUE"""),"9.29B")</f>
        <v>9.29B</v>
      </c>
      <c r="C102" s="73" t="str">
        <f>IFERROR(__xludf.DUMMYFUNCTION("""COMPUTED_VALUE"""),"7.24B")</f>
        <v>7.24B</v>
      </c>
      <c r="D102" s="73" t="str">
        <f>IFERROR(__xludf.DUMMYFUNCTION("""COMPUTED_VALUE"""),"9.23B")</f>
        <v>9.23B</v>
      </c>
      <c r="E102" s="73" t="str">
        <f>IFERROR(__xludf.DUMMYFUNCTION("""COMPUTED_VALUE"""),"13.46B")</f>
        <v>13.46B</v>
      </c>
      <c r="F102" s="73" t="str">
        <f>IFERROR(__xludf.DUMMYFUNCTION("""COMPUTED_VALUE"""),"16.03B")</f>
        <v>16.03B</v>
      </c>
      <c r="G102" s="73"/>
    </row>
    <row r="103">
      <c r="A103" s="73" t="str">
        <f>IFERROR(__xludf.DUMMYFUNCTION("""COMPUTED_VALUE"""),"Total Assets
Total Assets")</f>
        <v>Total Assets
Total Assets</v>
      </c>
      <c r="B103" s="73" t="str">
        <f>IFERROR(__xludf.DUMMYFUNCTION("""COMPUTED_VALUE"""),"105.69B")</f>
        <v>105.69B</v>
      </c>
      <c r="C103" s="73" t="str">
        <f>IFERROR(__xludf.DUMMYFUNCTION("""COMPUTED_VALUE"""),"109.16B")</f>
        <v>109.16B</v>
      </c>
      <c r="D103" s="73" t="str">
        <f>IFERROR(__xludf.DUMMYFUNCTION("""COMPUTED_VALUE"""),"106.68B")</f>
        <v>106.68B</v>
      </c>
      <c r="E103" s="73" t="str">
        <f>IFERROR(__xludf.DUMMYFUNCTION("""COMPUTED_VALUE"""),"117.11B")</f>
        <v>117.11B</v>
      </c>
      <c r="F103" s="73" t="str">
        <f>IFERROR(__xludf.DUMMYFUNCTION("""COMPUTED_VALUE"""),"136.87B")</f>
        <v>136.87B</v>
      </c>
      <c r="G103" s="73"/>
    </row>
    <row r="104">
      <c r="A104" s="73" t="str">
        <f>IFERROR(__xludf.DUMMYFUNCTION("""COMPUTED_VALUE"""),"Total Assets Growth
Total Assets Growth")</f>
        <v>Total Assets Growth
Total Assets Growth</v>
      </c>
      <c r="B104" s="73" t="str">
        <f>IFERROR(__xludf.DUMMYFUNCTION("""COMPUTED_VALUE"""),"-")</f>
        <v>-</v>
      </c>
      <c r="C104" s="72">
        <f>IFERROR(__xludf.DUMMYFUNCTION("""COMPUTED_VALUE"""),0.0328)</f>
        <v>0.0328</v>
      </c>
      <c r="D104" s="72">
        <f>IFERROR(__xludf.DUMMYFUNCTION("""COMPUTED_VALUE"""),-0.0228)</f>
        <v>-0.0228</v>
      </c>
      <c r="E104" s="72">
        <f>IFERROR(__xludf.DUMMYFUNCTION("""COMPUTED_VALUE"""),0.0978)</f>
        <v>0.0978</v>
      </c>
      <c r="F104" s="72">
        <f>IFERROR(__xludf.DUMMYFUNCTION("""COMPUTED_VALUE"""),0.1687)</f>
        <v>0.1687</v>
      </c>
      <c r="G104" s="73"/>
    </row>
    <row r="111">
      <c r="A111" s="73" t="str">
        <f>IFERROR(__xludf.DUMMYFUNCTION("IMPORTHTML(CONCAT(CONCAT(""https://www.marketwatch.com/investing/stock/"",'Income Statement'!D1),""/financials/cash-flow""),""table"",4)
"),"Item
Item")</f>
        <v>Item
Item</v>
      </c>
      <c r="B111" s="73">
        <f>IFERROR(__xludf.DUMMYFUNCTION("""COMPUTED_VALUE"""),2021.0)</f>
        <v>2021</v>
      </c>
      <c r="C111" s="73">
        <f>IFERROR(__xludf.DUMMYFUNCTION("""COMPUTED_VALUE"""),2022.0)</f>
        <v>2022</v>
      </c>
      <c r="D111" s="73">
        <f>IFERROR(__xludf.DUMMYFUNCTION("""COMPUTED_VALUE"""),2023.0)</f>
        <v>2023</v>
      </c>
      <c r="E111" s="73">
        <f>IFERROR(__xludf.DUMMYFUNCTION("""COMPUTED_VALUE"""),2024.0)</f>
        <v>2024</v>
      </c>
      <c r="F111" s="73">
        <f>IFERROR(__xludf.DUMMYFUNCTION("""COMPUTED_VALUE"""),2025.0)</f>
        <v>2025</v>
      </c>
      <c r="G111" s="73" t="str">
        <f>IFERROR(__xludf.DUMMYFUNCTION("""COMPUTED_VALUE"""),"5-year trend")</f>
        <v>5-year trend</v>
      </c>
    </row>
    <row r="112">
      <c r="A112" s="73" t="str">
        <f>IFERROR(__xludf.DUMMYFUNCTION("""COMPUTED_VALUE"""),"Net Income before Extraordinaries
Net Income before Extraordinaries")</f>
        <v>Net Income before Extraordinaries
Net Income before Extraordinaries</v>
      </c>
      <c r="B112" s="73" t="str">
        <f>IFERROR(__xludf.DUMMYFUNCTION("""COMPUTED_VALUE"""),"12.36B")</f>
        <v>12.36B</v>
      </c>
      <c r="C112" s="73" t="str">
        <f>IFERROR(__xludf.DUMMYFUNCTION("""COMPUTED_VALUE"""),"14.53B")</f>
        <v>14.53B</v>
      </c>
      <c r="D112" s="73" t="str">
        <f>IFERROR(__xludf.DUMMYFUNCTION("""COMPUTED_VALUE"""),"377M")</f>
        <v>377M</v>
      </c>
      <c r="E112" s="73" t="str">
        <f>IFERROR(__xludf.DUMMYFUNCTION("""COMPUTED_VALUE"""),"17.13B")</f>
        <v>17.13B</v>
      </c>
      <c r="F112" s="73" t="str">
        <f>IFERROR(__xludf.DUMMYFUNCTION("""COMPUTED_VALUE"""),"18.26B")</f>
        <v>18.26B</v>
      </c>
      <c r="G112" s="73"/>
    </row>
    <row r="113">
      <c r="A113" s="73" t="str">
        <f>IFERROR(__xludf.DUMMYFUNCTION("""COMPUTED_VALUE"""),"Net Income Growth
Net Income Growth")</f>
        <v>Net Income Growth
Net Income Growth</v>
      </c>
      <c r="B113" s="73" t="str">
        <f>IFERROR(__xludf.DUMMYFUNCTION("""COMPUTED_VALUE"""),"-")</f>
        <v>-</v>
      </c>
      <c r="C113" s="72">
        <f>IFERROR(__xludf.DUMMYFUNCTION("""COMPUTED_VALUE"""),0.1754)</f>
        <v>0.1754</v>
      </c>
      <c r="D113" s="72">
        <f>IFERROR(__xludf.DUMMYFUNCTION("""COMPUTED_VALUE"""),-0.974)</f>
        <v>-0.974</v>
      </c>
      <c r="E113" s="72">
        <f>IFERROR(__xludf.DUMMYFUNCTION("""COMPUTED_VALUE"""),44.4456)</f>
        <v>44.4456</v>
      </c>
      <c r="F113" s="72">
        <f>IFERROR(__xludf.DUMMYFUNCTION("""COMPUTED_VALUE"""),0.066)</f>
        <v>0.066</v>
      </c>
      <c r="G113" s="73"/>
    </row>
    <row r="114">
      <c r="A114" s="73" t="str">
        <f>IFERROR(__xludf.DUMMYFUNCTION("""COMPUTED_VALUE"""),"Depreciation, Depletion &amp; Amortization
Depreciation, Depletion &amp; Amortization")</f>
        <v>Depreciation, Depletion &amp; Amortization
Depreciation, Depletion &amp; Amortization</v>
      </c>
      <c r="B114" s="73" t="str">
        <f>IFERROR(__xludf.DUMMYFUNCTION("""COMPUTED_VALUE"""),"3.21B")</f>
        <v>3.21B</v>
      </c>
      <c r="C114" s="73" t="str">
        <f>IFERROR(__xludf.DUMMYFUNCTION("""COMPUTED_VALUE"""),"3.91B")</f>
        <v>3.91B</v>
      </c>
      <c r="D114" s="73" t="str">
        <f>IFERROR(__xludf.DUMMYFUNCTION("""COMPUTED_VALUE"""),"3.87B")</f>
        <v>3.87B</v>
      </c>
      <c r="E114" s="73" t="str">
        <f>IFERROR(__xludf.DUMMYFUNCTION("""COMPUTED_VALUE"""),"4.5B")</f>
        <v>4.5B</v>
      </c>
      <c r="F114" s="73" t="str">
        <f>IFERROR(__xludf.DUMMYFUNCTION("""COMPUTED_VALUE"""),"5.84B")</f>
        <v>5.84B</v>
      </c>
      <c r="G114" s="73"/>
    </row>
    <row r="115">
      <c r="A115" s="73" t="str">
        <f>IFERROR(__xludf.DUMMYFUNCTION("""COMPUTED_VALUE"""),"Depreciation and Depletion
Depreciation and Depletion")</f>
        <v>Depreciation and Depletion
Depreciation and Depletion</v>
      </c>
      <c r="B115" s="73" t="str">
        <f>IFERROR(__xludf.DUMMYFUNCTION("""COMPUTED_VALUE"""),"1.58B")</f>
        <v>1.58B</v>
      </c>
      <c r="C115" s="73" t="str">
        <f>IFERROR(__xludf.DUMMYFUNCTION("""COMPUTED_VALUE"""),"1.82B")</f>
        <v>1.82B</v>
      </c>
      <c r="D115" s="73" t="str">
        <f>IFERROR(__xludf.DUMMYFUNCTION("""COMPUTED_VALUE"""),"1.83B")</f>
        <v>1.83B</v>
      </c>
      <c r="E115" s="73" t="str">
        <f>IFERROR(__xludf.DUMMYFUNCTION("""COMPUTED_VALUE"""),"2.1B")</f>
        <v>2.1B</v>
      </c>
      <c r="F115" s="73" t="str">
        <f>IFERROR(__xludf.DUMMYFUNCTION("""COMPUTED_VALUE"""),"3.05B")</f>
        <v>3.05B</v>
      </c>
      <c r="G115" s="73"/>
    </row>
    <row r="116">
      <c r="A116" s="73" t="str">
        <f>IFERROR(__xludf.DUMMYFUNCTION("""COMPUTED_VALUE"""),"Amortization of Intangible Assets
Amortization of Intangible Assets")</f>
        <v>Amortization of Intangible Assets
Amortization of Intangible Assets</v>
      </c>
      <c r="B116" s="73" t="str">
        <f>IFERROR(__xludf.DUMMYFUNCTION("""COMPUTED_VALUE"""),"1.64B")</f>
        <v>1.64B</v>
      </c>
      <c r="C116" s="73" t="str">
        <f>IFERROR(__xludf.DUMMYFUNCTION("""COMPUTED_VALUE"""),"2.09B")</f>
        <v>2.09B</v>
      </c>
      <c r="D116" s="73" t="str">
        <f>IFERROR(__xludf.DUMMYFUNCTION("""COMPUTED_VALUE"""),"2.04B")</f>
        <v>2.04B</v>
      </c>
      <c r="E116" s="73" t="str">
        <f>IFERROR(__xludf.DUMMYFUNCTION("""COMPUTED_VALUE"""),"2.4B")</f>
        <v>2.4B</v>
      </c>
      <c r="F116" s="73" t="str">
        <f>IFERROR(__xludf.DUMMYFUNCTION("""COMPUTED_VALUE"""),"2.79B")</f>
        <v>2.79B</v>
      </c>
      <c r="G116" s="73"/>
    </row>
    <row r="117">
      <c r="A117" s="73" t="str">
        <f>IFERROR(__xludf.DUMMYFUNCTION("""COMPUTED_VALUE"""),"Deferred Taxes &amp; Investment Tax Credit
Deferred Taxes &amp; Investment Tax Credit")</f>
        <v>Deferred Taxes &amp; Investment Tax Credit
Deferred Taxes &amp; Investment Tax Credit</v>
      </c>
      <c r="B117" s="73" t="str">
        <f>IFERROR(__xludf.DUMMYFUNCTION("""COMPUTED_VALUE"""),"187M")</f>
        <v>187M</v>
      </c>
      <c r="C117" s="73" t="str">
        <f>IFERROR(__xludf.DUMMYFUNCTION("""COMPUTED_VALUE"""),"(1.57B)")</f>
        <v>(1.57B)</v>
      </c>
      <c r="D117" s="73" t="str">
        <f>IFERROR(__xludf.DUMMYFUNCTION("""COMPUTED_VALUE"""),"(1.9B)")</f>
        <v>(1.9B)</v>
      </c>
      <c r="E117" s="73" t="str">
        <f>IFERROR(__xludf.DUMMYFUNCTION("""COMPUTED_VALUE"""),"(1.25B)")</f>
        <v>(1.25B)</v>
      </c>
      <c r="F117" s="73" t="str">
        <f>IFERROR(__xludf.DUMMYFUNCTION("""COMPUTED_VALUE"""),"(1.67B)")</f>
        <v>(1.67B)</v>
      </c>
      <c r="G117" s="73"/>
    </row>
    <row r="118">
      <c r="A118" s="73" t="str">
        <f>IFERROR(__xludf.DUMMYFUNCTION("""COMPUTED_VALUE"""),"Deferred Taxes
Deferred Taxes")</f>
        <v>Deferred Taxes
Deferred Taxes</v>
      </c>
      <c r="B118" s="73" t="str">
        <f>IFERROR(__xludf.DUMMYFUNCTION("""COMPUTED_VALUE"""),"187M")</f>
        <v>187M</v>
      </c>
      <c r="C118" s="73" t="str">
        <f>IFERROR(__xludf.DUMMYFUNCTION("""COMPUTED_VALUE"""),"(1.57B)")</f>
        <v>(1.57B)</v>
      </c>
      <c r="D118" s="73" t="str">
        <f>IFERROR(__xludf.DUMMYFUNCTION("""COMPUTED_VALUE"""),"(1.9B)")</f>
        <v>(1.9B)</v>
      </c>
      <c r="E118" s="73" t="str">
        <f>IFERROR(__xludf.DUMMYFUNCTION("""COMPUTED_VALUE"""),"(1.25B)")</f>
        <v>(1.25B)</v>
      </c>
      <c r="F118" s="73" t="str">
        <f>IFERROR(__xludf.DUMMYFUNCTION("""COMPUTED_VALUE"""),"(1.67B)")</f>
        <v>(1.67B)</v>
      </c>
      <c r="G118" s="73"/>
    </row>
    <row r="119">
      <c r="A119" s="73" t="str">
        <f>IFERROR(__xludf.DUMMYFUNCTION("""COMPUTED_VALUE"""),"Investment Tax Credit
Investment Tax Credit")</f>
        <v>Investment Tax Credit
Investment Tax Credit</v>
      </c>
      <c r="B119" s="73" t="str">
        <f>IFERROR(__xludf.DUMMYFUNCTION("""COMPUTED_VALUE"""),"-")</f>
        <v>-</v>
      </c>
      <c r="C119" s="73" t="str">
        <f>IFERROR(__xludf.DUMMYFUNCTION("""COMPUTED_VALUE"""),"-")</f>
        <v>-</v>
      </c>
      <c r="D119" s="73" t="str">
        <f>IFERROR(__xludf.DUMMYFUNCTION("""COMPUTED_VALUE"""),"-")</f>
        <v>-</v>
      </c>
      <c r="E119" s="73" t="str">
        <f>IFERROR(__xludf.DUMMYFUNCTION("""COMPUTED_VALUE"""),"-")</f>
        <v>-</v>
      </c>
      <c r="F119" s="73" t="str">
        <f>IFERROR(__xludf.DUMMYFUNCTION("""COMPUTED_VALUE"""),"-")</f>
        <v>-</v>
      </c>
      <c r="G119" s="73"/>
    </row>
    <row r="120">
      <c r="A120" s="73" t="str">
        <f>IFERROR(__xludf.DUMMYFUNCTION("""COMPUTED_VALUE"""),"Other Funds
Other Funds")</f>
        <v>Other Funds
Other Funds</v>
      </c>
      <c r="B120" s="73" t="str">
        <f>IFERROR(__xludf.DUMMYFUNCTION("""COMPUTED_VALUE"""),"2.19B")</f>
        <v>2.19B</v>
      </c>
      <c r="C120" s="73" t="str">
        <f>IFERROR(__xludf.DUMMYFUNCTION("""COMPUTED_VALUE"""),"5.01B")</f>
        <v>5.01B</v>
      </c>
      <c r="D120" s="73" t="str">
        <f>IFERROR(__xludf.DUMMYFUNCTION("""COMPUTED_VALUE"""),"12.86B")</f>
        <v>12.86B</v>
      </c>
      <c r="E120" s="73" t="str">
        <f>IFERROR(__xludf.DUMMYFUNCTION("""COMPUTED_VALUE"""),"4.75B")</f>
        <v>4.75B</v>
      </c>
      <c r="F120" s="73" t="str">
        <f>IFERROR(__xludf.DUMMYFUNCTION("""COMPUTED_VALUE"""),"1.02B")</f>
        <v>1.02B</v>
      </c>
      <c r="G120" s="73"/>
    </row>
    <row r="121">
      <c r="A121" s="73" t="str">
        <f>IFERROR(__xludf.DUMMYFUNCTION("""COMPUTED_VALUE"""),"Funds from Operations
Funds from Operations")</f>
        <v>Funds from Operations
Funds from Operations</v>
      </c>
      <c r="B121" s="73" t="str">
        <f>IFERROR(__xludf.DUMMYFUNCTION("""COMPUTED_VALUE"""),"17.95B")</f>
        <v>17.95B</v>
      </c>
      <c r="C121" s="73" t="str">
        <f>IFERROR(__xludf.DUMMYFUNCTION("""COMPUTED_VALUE"""),"21.88B")</f>
        <v>21.88B</v>
      </c>
      <c r="D121" s="73" t="str">
        <f>IFERROR(__xludf.DUMMYFUNCTION("""COMPUTED_VALUE"""),"15.21B")</f>
        <v>15.21B</v>
      </c>
      <c r="E121" s="73" t="str">
        <f>IFERROR(__xludf.DUMMYFUNCTION("""COMPUTED_VALUE"""),"25.14B")</f>
        <v>25.14B</v>
      </c>
      <c r="F121" s="73" t="str">
        <f>IFERROR(__xludf.DUMMYFUNCTION("""COMPUTED_VALUE"""),"23.45B")</f>
        <v>23.45B</v>
      </c>
      <c r="G121" s="73"/>
    </row>
    <row r="122">
      <c r="A122" s="73" t="str">
        <f>IFERROR(__xludf.DUMMYFUNCTION("""COMPUTED_VALUE"""),"Extraordinaries
Extraordinaries")</f>
        <v>Extraordinaries
Extraordinaries</v>
      </c>
      <c r="B122" s="73" t="str">
        <f>IFERROR(__xludf.DUMMYFUNCTION("""COMPUTED_VALUE"""),"-")</f>
        <v>-</v>
      </c>
      <c r="C122" s="73" t="str">
        <f>IFERROR(__xludf.DUMMYFUNCTION("""COMPUTED_VALUE"""),"-")</f>
        <v>-</v>
      </c>
      <c r="D122" s="73" t="str">
        <f>IFERROR(__xludf.DUMMYFUNCTION("""COMPUTED_VALUE"""),"-")</f>
        <v>-</v>
      </c>
      <c r="E122" s="73" t="str">
        <f>IFERROR(__xludf.DUMMYFUNCTION("""COMPUTED_VALUE"""),"-")</f>
        <v>-</v>
      </c>
      <c r="F122" s="73" t="str">
        <f>IFERROR(__xludf.DUMMYFUNCTION("""COMPUTED_VALUE"""),"-")</f>
        <v>-</v>
      </c>
      <c r="G122" s="73"/>
    </row>
    <row r="123">
      <c r="A123" s="73" t="str">
        <f>IFERROR(__xludf.DUMMYFUNCTION("""COMPUTED_VALUE"""),"Changes in Working Capital
Changes in Working Capital")</f>
        <v>Changes in Working Capital
Changes in Working Capital</v>
      </c>
      <c r="B123" s="73" t="str">
        <f>IFERROR(__xludf.DUMMYFUNCTION("""COMPUTED_VALUE"""),"(3.84B)")</f>
        <v>(3.84B)</v>
      </c>
      <c r="C123" s="73" t="str">
        <f>IFERROR(__xludf.DUMMYFUNCTION("""COMPUTED_VALUE"""),"(2.78B)")</f>
        <v>(2.78B)</v>
      </c>
      <c r="D123" s="73" t="str">
        <f>IFERROR(__xludf.DUMMYFUNCTION("""COMPUTED_VALUE"""),"(2.21B)")</f>
        <v>(2.21B)</v>
      </c>
      <c r="E123" s="73" t="str">
        <f>IFERROR(__xludf.DUMMYFUNCTION("""COMPUTED_VALUE"""),"(3.67B)")</f>
        <v>(3.67B)</v>
      </c>
      <c r="F123" s="73" t="str">
        <f>IFERROR(__xludf.DUMMYFUNCTION("""COMPUTED_VALUE"""),"(6.98B)")</f>
        <v>(6.98B)</v>
      </c>
      <c r="G123" s="73"/>
    </row>
    <row r="124">
      <c r="A124" s="73" t="str">
        <f>IFERROR(__xludf.DUMMYFUNCTION("""COMPUTED_VALUE"""),"Receivables
Receivables")</f>
        <v>Receivables
Receivables</v>
      </c>
      <c r="B124" s="73" t="str">
        <f>IFERROR(__xludf.DUMMYFUNCTION("""COMPUTED_VALUE"""),"(2.03B)")</f>
        <v>(2.03B)</v>
      </c>
      <c r="C124" s="73" t="str">
        <f>IFERROR(__xludf.DUMMYFUNCTION("""COMPUTED_VALUE"""),"(644M)")</f>
        <v>(644M)</v>
      </c>
      <c r="D124" s="73" t="str">
        <f>IFERROR(__xludf.DUMMYFUNCTION("""COMPUTED_VALUE"""),"(1.15B)")</f>
        <v>(1.15B)</v>
      </c>
      <c r="E124" s="73" t="str">
        <f>IFERROR(__xludf.DUMMYFUNCTION("""COMPUTED_VALUE"""),"(244M)")</f>
        <v>(244M)</v>
      </c>
      <c r="F124" s="73" t="str">
        <f>IFERROR(__xludf.DUMMYFUNCTION("""COMPUTED_VALUE"""),"(1.09B)")</f>
        <v>(1.09B)</v>
      </c>
      <c r="G124" s="73"/>
    </row>
    <row r="125">
      <c r="A125" s="73" t="str">
        <f>IFERROR(__xludf.DUMMYFUNCTION("""COMPUTED_VALUE"""),"Accounts Payable
Accounts Payable")</f>
        <v>Accounts Payable
Accounts Payable</v>
      </c>
      <c r="B125" s="73" t="str">
        <f>IFERROR(__xludf.DUMMYFUNCTION("""COMPUTED_VALUE"""),"405M")</f>
        <v>405M</v>
      </c>
      <c r="C125" s="73" t="str">
        <f>IFERROR(__xludf.DUMMYFUNCTION("""COMPUTED_VALUE"""),"(289M)")</f>
        <v>(289M)</v>
      </c>
      <c r="D125" s="73" t="str">
        <f>IFERROR(__xludf.DUMMYFUNCTION("""COMPUTED_VALUE"""),"(380M)")</f>
        <v>(380M)</v>
      </c>
      <c r="E125" s="73" t="str">
        <f>IFERROR(__xludf.DUMMYFUNCTION("""COMPUTED_VALUE"""),"182M")</f>
        <v>182M</v>
      </c>
      <c r="F125" s="73" t="str">
        <f>IFERROR(__xludf.DUMMYFUNCTION("""COMPUTED_VALUE"""),"110M")</f>
        <v>110M</v>
      </c>
      <c r="G125" s="73"/>
    </row>
    <row r="126">
      <c r="A126" s="73" t="str">
        <f>IFERROR(__xludf.DUMMYFUNCTION("""COMPUTED_VALUE"""),"Other Assets/Liabilities
Other Assets/Liabilities")</f>
        <v>Other Assets/Liabilities
Other Assets/Liabilities</v>
      </c>
      <c r="B126" s="73" t="str">
        <f>IFERROR(__xludf.DUMMYFUNCTION("""COMPUTED_VALUE"""),"(1.27B)")</f>
        <v>(1.27B)</v>
      </c>
      <c r="C126" s="73" t="str">
        <f>IFERROR(__xludf.DUMMYFUNCTION("""COMPUTED_VALUE"""),"(2.02B)")</f>
        <v>(2.02B)</v>
      </c>
      <c r="D126" s="73" t="str">
        <f>IFERROR(__xludf.DUMMYFUNCTION("""COMPUTED_VALUE"""),"(1.86B)")</f>
        <v>(1.86B)</v>
      </c>
      <c r="E126" s="73" t="str">
        <f>IFERROR(__xludf.DUMMYFUNCTION("""COMPUTED_VALUE"""),"(1.47B)")</f>
        <v>(1.47B)</v>
      </c>
      <c r="F126" s="73" t="str">
        <f>IFERROR(__xludf.DUMMYFUNCTION("""COMPUTED_VALUE"""),"(3.11B)")</f>
        <v>(3.11B)</v>
      </c>
      <c r="G126" s="73"/>
    </row>
    <row r="127">
      <c r="A127" s="73" t="str">
        <f>IFERROR(__xludf.DUMMYFUNCTION("""COMPUTED_VALUE"""),"Net Operating Cash Flow
Net Operating Cash Flow")</f>
        <v>Net Operating Cash Flow
Net Operating Cash Flow</v>
      </c>
      <c r="B127" s="73" t="str">
        <f>IFERROR(__xludf.DUMMYFUNCTION("""COMPUTED_VALUE"""),"14.11B")</f>
        <v>14.11B</v>
      </c>
      <c r="C127" s="73" t="str">
        <f>IFERROR(__xludf.DUMMYFUNCTION("""COMPUTED_VALUE"""),"19.1B")</f>
        <v>19.1B</v>
      </c>
      <c r="D127" s="73" t="str">
        <f>IFERROR(__xludf.DUMMYFUNCTION("""COMPUTED_VALUE"""),"13.01B")</f>
        <v>13.01B</v>
      </c>
      <c r="E127" s="73" t="str">
        <f>IFERROR(__xludf.DUMMYFUNCTION("""COMPUTED_VALUE"""),"21.47B")</f>
        <v>21.47B</v>
      </c>
      <c r="F127" s="73" t="str">
        <f>IFERROR(__xludf.DUMMYFUNCTION("""COMPUTED_VALUE"""),"16.47B")</f>
        <v>16.47B</v>
      </c>
      <c r="G127" s="73"/>
    </row>
    <row r="128">
      <c r="A128" s="73" t="str">
        <f>IFERROR(__xludf.DUMMYFUNCTION("""COMPUTED_VALUE"""),"Net Operating Cash Flow Growth
Net Operating Cash Flow Growth")</f>
        <v>Net Operating Cash Flow Growth
Net Operating Cash Flow Growth</v>
      </c>
      <c r="B128" s="73" t="str">
        <f>IFERROR(__xludf.DUMMYFUNCTION("""COMPUTED_VALUE"""),"-")</f>
        <v>-</v>
      </c>
      <c r="C128" s="72">
        <f>IFERROR(__xludf.DUMMYFUNCTION("""COMPUTED_VALUE"""),0.3534)</f>
        <v>0.3534</v>
      </c>
      <c r="D128" s="72">
        <f>IFERROR(__xludf.DUMMYFUNCTION("""COMPUTED_VALUE"""),-0.3189)</f>
        <v>-0.3189</v>
      </c>
      <c r="E128" s="72">
        <f>IFERROR(__xludf.DUMMYFUNCTION("""COMPUTED_VALUE"""),0.6506)</f>
        <v>0.6506</v>
      </c>
      <c r="F128" s="72">
        <f>IFERROR(__xludf.DUMMYFUNCTION("""COMPUTED_VALUE"""),-0.2327)</f>
        <v>-0.2327</v>
      </c>
      <c r="G128" s="73"/>
    </row>
    <row r="129">
      <c r="A129" s="73" t="str">
        <f>IFERROR(__xludf.DUMMYFUNCTION("""COMPUTED_VALUE"""),"Net Operating Cash Flow / Sales
Net Operating Cash Flow / Sales")</f>
        <v>Net Operating Cash Flow / Sales
Net Operating Cash Flow / Sales</v>
      </c>
      <c r="B129" s="72">
        <f>IFERROR(__xludf.DUMMYFUNCTION("""COMPUTED_VALUE"""),0.2885)</f>
        <v>0.2885</v>
      </c>
      <c r="C129" s="72">
        <f>IFERROR(__xludf.DUMMYFUNCTION("""COMPUTED_VALUE"""),0.3266)</f>
        <v>0.3266</v>
      </c>
      <c r="D129" s="72">
        <f>IFERROR(__xludf.DUMMYFUNCTION("""COMPUTED_VALUE"""),0.2172)</f>
        <v>0.2172</v>
      </c>
      <c r="E129" s="72">
        <f>IFERROR(__xludf.DUMMYFUNCTION("""COMPUTED_VALUE"""),0.3356)</f>
        <v>0.3356</v>
      </c>
      <c r="F129" s="72">
        <f>IFERROR(__xludf.DUMMYFUNCTION("""COMPUTED_VALUE"""),0.2537)</f>
        <v>0.2537</v>
      </c>
      <c r="G129" s="73"/>
    </row>
    <row r="131">
      <c r="A131" s="73" t="str">
        <f>IFERROR(__xludf.DUMMYFUNCTION("IMPORTHTML(CONCAT(CONCAT(""https://www.marketwatch.com/investing/stock/"",'Income Statement'!D1),""/financials/cash-flow""),""table"",6)
"),"Item
Item")</f>
        <v>Item
Item</v>
      </c>
      <c r="B131" s="73">
        <f>IFERROR(__xludf.DUMMYFUNCTION("""COMPUTED_VALUE"""),2021.0)</f>
        <v>2021</v>
      </c>
      <c r="C131" s="73">
        <f>IFERROR(__xludf.DUMMYFUNCTION("""COMPUTED_VALUE"""),2022.0)</f>
        <v>2022</v>
      </c>
      <c r="D131" s="73">
        <f>IFERROR(__xludf.DUMMYFUNCTION("""COMPUTED_VALUE"""),2023.0)</f>
        <v>2023</v>
      </c>
      <c r="E131" s="73">
        <f>IFERROR(__xludf.DUMMYFUNCTION("""COMPUTED_VALUE"""),2024.0)</f>
        <v>2024</v>
      </c>
      <c r="F131" s="73">
        <f>IFERROR(__xludf.DUMMYFUNCTION("""COMPUTED_VALUE"""),2025.0)</f>
        <v>2025</v>
      </c>
      <c r="G131" s="73" t="str">
        <f>IFERROR(__xludf.DUMMYFUNCTION("""COMPUTED_VALUE"""),"5-year trend")</f>
        <v>5-year trend</v>
      </c>
    </row>
    <row r="132">
      <c r="A132" s="73" t="str">
        <f>IFERROR(__xludf.DUMMYFUNCTION("""COMPUTED_VALUE"""),"Cash Dividends Paid - Total
Cash Dividends Paid - Total")</f>
        <v>Cash Dividends Paid - Total
Cash Dividends Paid - Total</v>
      </c>
      <c r="B132" s="73" t="str">
        <f>IFERROR(__xludf.DUMMYFUNCTION("""COMPUTED_VALUE"""),"(6.61B)")</f>
        <v>(6.61B)</v>
      </c>
      <c r="C132" s="73" t="str">
        <f>IFERROR(__xludf.DUMMYFUNCTION("""COMPUTED_VALUE"""),"(7.01B)")</f>
        <v>(7.01B)</v>
      </c>
      <c r="D132" s="73" t="str">
        <f>IFERROR(__xludf.DUMMYFUNCTION("""COMPUTED_VALUE"""),"(7.45B)")</f>
        <v>(7.45B)</v>
      </c>
      <c r="E132" s="73" t="str">
        <f>IFERROR(__xludf.DUMMYFUNCTION("""COMPUTED_VALUE"""),"(7.84B)")</f>
        <v>(7.84B)</v>
      </c>
      <c r="F132" s="73" t="str">
        <f>IFERROR(__xludf.DUMMYFUNCTION("""COMPUTED_VALUE"""),"(8.18B)")</f>
        <v>(8.18B)</v>
      </c>
      <c r="G132" s="73"/>
    </row>
    <row r="133">
      <c r="A133" s="73" t="str">
        <f>IFERROR(__xludf.DUMMYFUNCTION("""COMPUTED_VALUE"""),"Common Dividends
Common Dividends")</f>
        <v>Common Dividends
Common Dividends</v>
      </c>
      <c r="B133" s="73" t="str">
        <f>IFERROR(__xludf.DUMMYFUNCTION("""COMPUTED_VALUE"""),"(6.61B)")</f>
        <v>(6.61B)</v>
      </c>
      <c r="C133" s="73" t="str">
        <f>IFERROR(__xludf.DUMMYFUNCTION("""COMPUTED_VALUE"""),"(7.01B)")</f>
        <v>(7.01B)</v>
      </c>
      <c r="D133" s="73" t="str">
        <f>IFERROR(__xludf.DUMMYFUNCTION("""COMPUTED_VALUE"""),"(7.45B)")</f>
        <v>(7.45B)</v>
      </c>
      <c r="E133" s="73" t="str">
        <f>IFERROR(__xludf.DUMMYFUNCTION("""COMPUTED_VALUE"""),"(7.84B)")</f>
        <v>(7.84B)</v>
      </c>
      <c r="F133" s="73" t="str">
        <f>IFERROR(__xludf.DUMMYFUNCTION("""COMPUTED_VALUE"""),"(8.18B)")</f>
        <v>(8.18B)</v>
      </c>
      <c r="G133" s="73"/>
    </row>
    <row r="134">
      <c r="A134" s="73" t="str">
        <f>IFERROR(__xludf.DUMMYFUNCTION("""COMPUTED_VALUE"""),"Preferred Dividends
Preferred Dividends")</f>
        <v>Preferred Dividends
Preferred Dividends</v>
      </c>
      <c r="B134" s="73" t="str">
        <f>IFERROR(__xludf.DUMMYFUNCTION("""COMPUTED_VALUE"""),"-")</f>
        <v>-</v>
      </c>
      <c r="C134" s="73" t="str">
        <f>IFERROR(__xludf.DUMMYFUNCTION("""COMPUTED_VALUE"""),"-")</f>
        <v>-</v>
      </c>
      <c r="D134" s="73" t="str">
        <f>IFERROR(__xludf.DUMMYFUNCTION("""COMPUTED_VALUE"""),"-")</f>
        <v>-</v>
      </c>
      <c r="E134" s="73" t="str">
        <f>IFERROR(__xludf.DUMMYFUNCTION("""COMPUTED_VALUE"""),"-")</f>
        <v>-</v>
      </c>
      <c r="F134" s="73" t="str">
        <f>IFERROR(__xludf.DUMMYFUNCTION("""COMPUTED_VALUE"""),"-")</f>
        <v>-</v>
      </c>
      <c r="G134" s="73"/>
    </row>
    <row r="135">
      <c r="A135" s="73" t="str">
        <f>IFERROR(__xludf.DUMMYFUNCTION("""COMPUTED_VALUE"""),"Change in Capital Stock
Change in Capital Stock")</f>
        <v>Change in Capital Stock
Change in Capital Stock</v>
      </c>
      <c r="B135" s="73" t="str">
        <f>IFERROR(__xludf.DUMMYFUNCTION("""COMPUTED_VALUE"""),"(638M)")</f>
        <v>(638M)</v>
      </c>
      <c r="C135" s="73" t="str">
        <f>IFERROR(__xludf.DUMMYFUNCTION("""COMPUTED_VALUE"""),"384M")</f>
        <v>384M</v>
      </c>
      <c r="D135" s="73" t="str">
        <f>IFERROR(__xludf.DUMMYFUNCTION("""COMPUTED_VALUE"""),"(1.22B)")</f>
        <v>(1.22B)</v>
      </c>
      <c r="E135" s="73" t="str">
        <f>IFERROR(__xludf.DUMMYFUNCTION("""COMPUTED_VALUE"""),"(1.13B)")</f>
        <v>(1.13B)</v>
      </c>
      <c r="F135" s="73" t="str">
        <f>IFERROR(__xludf.DUMMYFUNCTION("""COMPUTED_VALUE"""),"(4.99B)")</f>
        <v>(4.99B)</v>
      </c>
      <c r="G135" s="73"/>
    </row>
    <row r="136">
      <c r="A136" s="73" t="str">
        <f>IFERROR(__xludf.DUMMYFUNCTION("""COMPUTED_VALUE"""),"Repurchase of Common &amp; Preferred Stk.
Repurchase of Common &amp; Preferred Stk.")</f>
        <v>Repurchase of Common &amp; Preferred Stk.
Repurchase of Common &amp; Preferred Stk.</v>
      </c>
      <c r="B136" s="73" t="str">
        <f>IFERROR(__xludf.DUMMYFUNCTION("""COMPUTED_VALUE"""),"(840M)")</f>
        <v>(840M)</v>
      </c>
      <c r="C136" s="73" t="str">
        <f>IFERROR(__xludf.DUMMYFUNCTION("""COMPUTED_VALUE"""),"-")</f>
        <v>-</v>
      </c>
      <c r="D136" s="73" t="str">
        <f>IFERROR(__xludf.DUMMYFUNCTION("""COMPUTED_VALUE"""),"(1.35B)")</f>
        <v>(1.35B)</v>
      </c>
      <c r="E136" s="73" t="str">
        <f>IFERROR(__xludf.DUMMYFUNCTION("""COMPUTED_VALUE"""),"(1.31B)")</f>
        <v>(1.31B)</v>
      </c>
      <c r="F136" s="73" t="str">
        <f>IFERROR(__xludf.DUMMYFUNCTION("""COMPUTED_VALUE"""),"(5.08B)")</f>
        <v>(5.08B)</v>
      </c>
      <c r="G136" s="73"/>
    </row>
    <row r="137">
      <c r="A137" s="73" t="str">
        <f>IFERROR(__xludf.DUMMYFUNCTION("""COMPUTED_VALUE"""),"Sale of Common &amp; Preferred Stock
Sale of Common &amp; Preferred Stock")</f>
        <v>Sale of Common &amp; Preferred Stock
Sale of Common &amp; Preferred Stock</v>
      </c>
      <c r="B137" s="73" t="str">
        <f>IFERROR(__xludf.DUMMYFUNCTION("""COMPUTED_VALUE"""),"202M")</f>
        <v>202M</v>
      </c>
      <c r="C137" s="73" t="str">
        <f>IFERROR(__xludf.DUMMYFUNCTION("""COMPUTED_VALUE"""),"384M")</f>
        <v>384M</v>
      </c>
      <c r="D137" s="73" t="str">
        <f>IFERROR(__xludf.DUMMYFUNCTION("""COMPUTED_VALUE"""),"125M")</f>
        <v>125M</v>
      </c>
      <c r="E137" s="73" t="str">
        <f>IFERROR(__xludf.DUMMYFUNCTION("""COMPUTED_VALUE"""),"177M")</f>
        <v>177M</v>
      </c>
      <c r="F137" s="73" t="str">
        <f>IFERROR(__xludf.DUMMYFUNCTION("""COMPUTED_VALUE"""),"92M")</f>
        <v>92M</v>
      </c>
      <c r="G137" s="73"/>
    </row>
    <row r="138">
      <c r="A138" s="73" t="str">
        <f>IFERROR(__xludf.DUMMYFUNCTION("""COMPUTED_VALUE"""),"Proceeds from Stock Options
Proceeds from Stock Options")</f>
        <v>Proceeds from Stock Options
Proceeds from Stock Options</v>
      </c>
      <c r="B138" s="73" t="str">
        <f>IFERROR(__xludf.DUMMYFUNCTION("""COMPUTED_VALUE"""),"-")</f>
        <v>-</v>
      </c>
      <c r="C138" s="73" t="str">
        <f>IFERROR(__xludf.DUMMYFUNCTION("""COMPUTED_VALUE"""),"-")</f>
        <v>-</v>
      </c>
      <c r="D138" s="73" t="str">
        <f>IFERROR(__xludf.DUMMYFUNCTION("""COMPUTED_VALUE"""),"-")</f>
        <v>-</v>
      </c>
      <c r="E138" s="73" t="str">
        <f>IFERROR(__xludf.DUMMYFUNCTION("""COMPUTED_VALUE"""),"-")</f>
        <v>-</v>
      </c>
      <c r="F138" s="73" t="str">
        <f>IFERROR(__xludf.DUMMYFUNCTION("""COMPUTED_VALUE"""),"-")</f>
        <v>-</v>
      </c>
      <c r="G138" s="73"/>
    </row>
    <row r="139">
      <c r="A139" s="73" t="str">
        <f>IFERROR(__xludf.DUMMYFUNCTION("""COMPUTED_VALUE"""),"Other Proceeds from Sale of Stock
Other Proceeds from Sale of Stock")</f>
        <v>Other Proceeds from Sale of Stock
Other Proceeds from Sale of Stock</v>
      </c>
      <c r="B139" s="73" t="str">
        <f>IFERROR(__xludf.DUMMYFUNCTION("""COMPUTED_VALUE"""),"202M")</f>
        <v>202M</v>
      </c>
      <c r="C139" s="73" t="str">
        <f>IFERROR(__xludf.DUMMYFUNCTION("""COMPUTED_VALUE"""),"384M")</f>
        <v>384M</v>
      </c>
      <c r="D139" s="73" t="str">
        <f>IFERROR(__xludf.DUMMYFUNCTION("""COMPUTED_VALUE"""),"125M")</f>
        <v>125M</v>
      </c>
      <c r="E139" s="73" t="str">
        <f>IFERROR(__xludf.DUMMYFUNCTION("""COMPUTED_VALUE"""),"177M")</f>
        <v>177M</v>
      </c>
      <c r="F139" s="73" t="str">
        <f>IFERROR(__xludf.DUMMYFUNCTION("""COMPUTED_VALUE"""),"92M")</f>
        <v>92M</v>
      </c>
      <c r="G139" s="73"/>
    </row>
    <row r="140">
      <c r="A140" s="73" t="str">
        <f>IFERROR(__xludf.DUMMYFUNCTION("""COMPUTED_VALUE"""),"Issuance/Reduction of Debt, Net
Issuance/Reduction of Debt, Net")</f>
        <v>Issuance/Reduction of Debt, Net
Issuance/Reduction of Debt, Net</v>
      </c>
      <c r="B140" s="73" t="str">
        <f>IFERROR(__xludf.DUMMYFUNCTION("""COMPUTED_VALUE"""),"1.63B")</f>
        <v>1.63B</v>
      </c>
      <c r="C140" s="73" t="str">
        <f>IFERROR(__xludf.DUMMYFUNCTION("""COMPUTED_VALUE"""),"(2.25B)")</f>
        <v>(2.25B)</v>
      </c>
      <c r="D140" s="73" t="str">
        <f>IFERROR(__xludf.DUMMYFUNCTION("""COMPUTED_VALUE"""),"4.18B")</f>
        <v>4.18B</v>
      </c>
      <c r="E140" s="73" t="str">
        <f>IFERROR(__xludf.DUMMYFUNCTION("""COMPUTED_VALUE"""),"2.31B")</f>
        <v>2.31B</v>
      </c>
      <c r="F140" s="73" t="str">
        <f>IFERROR(__xludf.DUMMYFUNCTION("""COMPUTED_VALUE"""),"11.38B")</f>
        <v>11.38B</v>
      </c>
      <c r="G140" s="73"/>
    </row>
    <row r="141">
      <c r="A141" s="73" t="str">
        <f>IFERROR(__xludf.DUMMYFUNCTION("""COMPUTED_VALUE"""),"Change in Current Debt
Change in Current Debt")</f>
        <v>Change in Current Debt
Change in Current Debt</v>
      </c>
      <c r="B141" s="73" t="str">
        <f>IFERROR(__xludf.DUMMYFUNCTION("""COMPUTED_VALUE"""),"(3.99B)")</f>
        <v>(3.99B)</v>
      </c>
      <c r="C141" s="73" t="str">
        <f>IFERROR(__xludf.DUMMYFUNCTION("""COMPUTED_VALUE"""),"-")</f>
        <v>-</v>
      </c>
      <c r="D141" s="73" t="str">
        <f>IFERROR(__xludf.DUMMYFUNCTION("""COMPUTED_VALUE"""),"-")</f>
        <v>-</v>
      </c>
      <c r="E141" s="73" t="str">
        <f>IFERROR(__xludf.DUMMYFUNCTION("""COMPUTED_VALUE"""),"-")</f>
        <v>-</v>
      </c>
      <c r="F141" s="73" t="str">
        <f>IFERROR(__xludf.DUMMYFUNCTION("""COMPUTED_VALUE"""),"-")</f>
        <v>-</v>
      </c>
      <c r="G141" s="73"/>
    </row>
    <row r="142">
      <c r="A142" s="73" t="str">
        <f>IFERROR(__xludf.DUMMYFUNCTION("""COMPUTED_VALUE"""),"Change in Long-Term Debt
Change in Long-Term Debt")</f>
        <v>Change in Long-Term Debt
Change in Long-Term Debt</v>
      </c>
      <c r="B142" s="73" t="str">
        <f>IFERROR(__xludf.DUMMYFUNCTION("""COMPUTED_VALUE"""),"5.62B")</f>
        <v>5.62B</v>
      </c>
      <c r="C142" s="73" t="str">
        <f>IFERROR(__xludf.DUMMYFUNCTION("""COMPUTED_VALUE"""),"(2.25B)")</f>
        <v>(2.25B)</v>
      </c>
      <c r="D142" s="73" t="str">
        <f>IFERROR(__xludf.DUMMYFUNCTION("""COMPUTED_VALUE"""),"4.18B")</f>
        <v>4.18B</v>
      </c>
      <c r="E142" s="73" t="str">
        <f>IFERROR(__xludf.DUMMYFUNCTION("""COMPUTED_VALUE"""),"2.31B")</f>
        <v>2.31B</v>
      </c>
      <c r="F142" s="73" t="str">
        <f>IFERROR(__xludf.DUMMYFUNCTION("""COMPUTED_VALUE"""),"11.38B")</f>
        <v>11.38B</v>
      </c>
      <c r="G142" s="73"/>
    </row>
    <row r="143">
      <c r="A143" s="73" t="str">
        <f>IFERROR(__xludf.DUMMYFUNCTION("""COMPUTED_VALUE"""),"Issuance of Long-Term Debt
Issuance of Long-Term Debt")</f>
        <v>Issuance of Long-Term Debt
Issuance of Long-Term Debt</v>
      </c>
      <c r="B143" s="73" t="str">
        <f>IFERROR(__xludf.DUMMYFUNCTION("""COMPUTED_VALUE"""),"7.94B")</f>
        <v>7.94B</v>
      </c>
      <c r="C143" s="73" t="str">
        <f>IFERROR(__xludf.DUMMYFUNCTION("""COMPUTED_VALUE"""),"-")</f>
        <v>-</v>
      </c>
      <c r="D143" s="73" t="str">
        <f>IFERROR(__xludf.DUMMYFUNCTION("""COMPUTED_VALUE"""),"5.94B")</f>
        <v>5.94B</v>
      </c>
      <c r="E143" s="73" t="str">
        <f>IFERROR(__xludf.DUMMYFUNCTION("""COMPUTED_VALUE"""),"3.6B")</f>
        <v>3.6B</v>
      </c>
      <c r="F143" s="73" t="str">
        <f>IFERROR(__xludf.DUMMYFUNCTION("""COMPUTED_VALUE"""),"13.88B")</f>
        <v>13.88B</v>
      </c>
      <c r="G143" s="73"/>
    </row>
    <row r="144">
      <c r="A144" s="73" t="str">
        <f>IFERROR(__xludf.DUMMYFUNCTION("""COMPUTED_VALUE"""),"Reduction in Long-Term Debt
Reduction in Long-Term Debt")</f>
        <v>Reduction in Long-Term Debt
Reduction in Long-Term Debt</v>
      </c>
      <c r="B144" s="73" t="str">
        <f>IFERROR(__xludf.DUMMYFUNCTION("""COMPUTED_VALUE"""),"(2.32B)")</f>
        <v>(2.32B)</v>
      </c>
      <c r="C144" s="73" t="str">
        <f>IFERROR(__xludf.DUMMYFUNCTION("""COMPUTED_VALUE"""),"(2.25B)")</f>
        <v>(2.25B)</v>
      </c>
      <c r="D144" s="73" t="str">
        <f>IFERROR(__xludf.DUMMYFUNCTION("""COMPUTED_VALUE"""),"(1.76B)")</f>
        <v>(1.76B)</v>
      </c>
      <c r="E144" s="73" t="str">
        <f>IFERROR(__xludf.DUMMYFUNCTION("""COMPUTED_VALUE"""),"(1.29B)")</f>
        <v>(1.29B)</v>
      </c>
      <c r="F144" s="73" t="str">
        <f>IFERROR(__xludf.DUMMYFUNCTION("""COMPUTED_VALUE"""),"(2.5B)")</f>
        <v>(2.5B)</v>
      </c>
      <c r="G144" s="73"/>
    </row>
    <row r="145">
      <c r="A145" s="73" t="str">
        <f>IFERROR(__xludf.DUMMYFUNCTION("""COMPUTED_VALUE"""),"Other Funds
Other Funds")</f>
        <v>Other Funds
Other Funds</v>
      </c>
      <c r="B145" s="73" t="str">
        <f>IFERROR(__xludf.DUMMYFUNCTION("""COMPUTED_VALUE"""),"8.21B")</f>
        <v>8.21B</v>
      </c>
      <c r="C145" s="73" t="str">
        <f>IFERROR(__xludf.DUMMYFUNCTION("""COMPUTED_VALUE"""),"(240M)")</f>
        <v>(240M)</v>
      </c>
      <c r="D145" s="73" t="str">
        <f>IFERROR(__xludf.DUMMYFUNCTION("""COMPUTED_VALUE"""),"(328M)")</f>
        <v>(328M)</v>
      </c>
      <c r="E145" s="73" t="str">
        <f>IFERROR(__xludf.DUMMYFUNCTION("""COMPUTED_VALUE"""),"(372M)")</f>
        <v>(372M)</v>
      </c>
      <c r="F145" s="73" t="str">
        <f>IFERROR(__xludf.DUMMYFUNCTION("""COMPUTED_VALUE"""),"(131M)")</f>
        <v>(131M)</v>
      </c>
      <c r="G145" s="73"/>
    </row>
    <row r="146">
      <c r="A146" s="73" t="str">
        <f>IFERROR(__xludf.DUMMYFUNCTION("""COMPUTED_VALUE"""),"Other Uses
Other Uses")</f>
        <v>Other Uses
Other Uses</v>
      </c>
      <c r="B146" s="73" t="str">
        <f>IFERROR(__xludf.DUMMYFUNCTION("""COMPUTED_VALUE"""),"(790M)")</f>
        <v>(790M)</v>
      </c>
      <c r="C146" s="73" t="str">
        <f>IFERROR(__xludf.DUMMYFUNCTION("""COMPUTED_VALUE"""),"(240M)")</f>
        <v>(240M)</v>
      </c>
      <c r="D146" s="73" t="str">
        <f>IFERROR(__xludf.DUMMYFUNCTION("""COMPUTED_VALUE"""),"(328M)")</f>
        <v>(328M)</v>
      </c>
      <c r="E146" s="73" t="str">
        <f>IFERROR(__xludf.DUMMYFUNCTION("""COMPUTED_VALUE"""),"(372M)")</f>
        <v>(372M)</v>
      </c>
      <c r="F146" s="73" t="str">
        <f>IFERROR(__xludf.DUMMYFUNCTION("""COMPUTED_VALUE"""),"(131M)")</f>
        <v>(131M)</v>
      </c>
      <c r="G146" s="73"/>
    </row>
    <row r="147">
      <c r="A147" s="73" t="str">
        <f>IFERROR(__xludf.DUMMYFUNCTION("""COMPUTED_VALUE"""),"Other Sources
Other Sources")</f>
        <v>Other Sources
Other Sources</v>
      </c>
      <c r="B147" s="73" t="str">
        <f>IFERROR(__xludf.DUMMYFUNCTION("""COMPUTED_VALUE"""),"9B")</f>
        <v>9B</v>
      </c>
      <c r="C147" s="73" t="str">
        <f>IFERROR(__xludf.DUMMYFUNCTION("""COMPUTED_VALUE"""),"-")</f>
        <v>-</v>
      </c>
      <c r="D147" s="73" t="str">
        <f>IFERROR(__xludf.DUMMYFUNCTION("""COMPUTED_VALUE"""),"-")</f>
        <v>-</v>
      </c>
      <c r="E147" s="73" t="str">
        <f>IFERROR(__xludf.DUMMYFUNCTION("""COMPUTED_VALUE"""),"-")</f>
        <v>-</v>
      </c>
      <c r="F147" s="73" t="str">
        <f>IFERROR(__xludf.DUMMYFUNCTION("""COMPUTED_VALUE"""),"-")</f>
        <v>-</v>
      </c>
      <c r="G147" s="73"/>
    </row>
    <row r="148">
      <c r="A148" s="73" t="str">
        <f>IFERROR(__xludf.DUMMYFUNCTION("""COMPUTED_VALUE"""),"Net Financing Cash Flow
Net Financing Cash Flow")</f>
        <v>Net Financing Cash Flow
Net Financing Cash Flow</v>
      </c>
      <c r="B148" s="73" t="str">
        <f>IFERROR(__xludf.DUMMYFUNCTION("""COMPUTED_VALUE"""),"2.59B")</f>
        <v>2.59B</v>
      </c>
      <c r="C148" s="73" t="str">
        <f>IFERROR(__xludf.DUMMYFUNCTION("""COMPUTED_VALUE"""),"(9.12B)")</f>
        <v>(9.12B)</v>
      </c>
      <c r="D148" s="73" t="str">
        <f>IFERROR(__xludf.DUMMYFUNCTION("""COMPUTED_VALUE"""),"(4.81B)")</f>
        <v>(4.81B)</v>
      </c>
      <c r="E148" s="73" t="str">
        <f>IFERROR(__xludf.DUMMYFUNCTION("""COMPUTED_VALUE"""),"(7.03B)")</f>
        <v>(7.03B)</v>
      </c>
      <c r="F148" s="73" t="str">
        <f>IFERROR(__xludf.DUMMYFUNCTION("""COMPUTED_VALUE"""),"(1.92B)")</f>
        <v>(1.92B)</v>
      </c>
      <c r="G148" s="73"/>
    </row>
    <row r="149">
      <c r="A149" s="73" t="str">
        <f>IFERROR(__xludf.DUMMYFUNCTION("""COMPUTED_VALUE"""),"Net Financing Cash Flow Growth
Net Financing Cash Flow Growth")</f>
        <v>Net Financing Cash Flow Growth
Net Financing Cash Flow Growth</v>
      </c>
      <c r="B149" s="73" t="str">
        <f>IFERROR(__xludf.DUMMYFUNCTION("""COMPUTED_VALUE"""),"-")</f>
        <v>-</v>
      </c>
      <c r="C149" s="72">
        <f>IFERROR(__xludf.DUMMYFUNCTION("""COMPUTED_VALUE"""),-4.5168)</f>
        <v>-4.5168</v>
      </c>
      <c r="D149" s="72">
        <f>IFERROR(__xludf.DUMMYFUNCTION("""COMPUTED_VALUE"""),0.4725)</f>
        <v>0.4725</v>
      </c>
      <c r="E149" s="72">
        <f>IFERROR(__xludf.DUMMYFUNCTION("""COMPUTED_VALUE"""),-0.462)</f>
        <v>-0.462</v>
      </c>
      <c r="F149" s="72">
        <f>IFERROR(__xludf.DUMMYFUNCTION("""COMPUTED_VALUE"""),0.7267)</f>
        <v>0.7267</v>
      </c>
      <c r="G149" s="73"/>
    </row>
    <row r="150">
      <c r="A150" s="73" t="str">
        <f>IFERROR(__xludf.DUMMYFUNCTION("""COMPUTED_VALUE"""),"Net Financing Cash Flow / Sales
Net Financing Cash Flow / Sales")</f>
        <v>Net Financing Cash Flow / Sales
Net Financing Cash Flow / Sales</v>
      </c>
      <c r="B150" s="72">
        <f>IFERROR(__xludf.DUMMYFUNCTION("""COMPUTED_VALUE"""),0.053)</f>
        <v>0.053</v>
      </c>
      <c r="C150" s="72">
        <f>IFERROR(__xludf.DUMMYFUNCTION("""COMPUTED_VALUE"""),-0.156)</f>
        <v>-0.156</v>
      </c>
      <c r="D150" s="72">
        <f>IFERROR(__xludf.DUMMYFUNCTION("""COMPUTED_VALUE"""),-0.0803)</f>
        <v>-0.0803</v>
      </c>
      <c r="E150" s="72">
        <f>IFERROR(__xludf.DUMMYFUNCTION("""COMPUTED_VALUE"""),-0.1099)</f>
        <v>-0.1099</v>
      </c>
      <c r="F150" s="72">
        <f>IFERROR(__xludf.DUMMYFUNCTION("""COMPUTED_VALUE"""),-0.0296)</f>
        <v>-0.0296</v>
      </c>
      <c r="G150" s="73"/>
    </row>
    <row r="151">
      <c r="A151" s="73" t="str">
        <f>IFERROR(__xludf.DUMMYFUNCTION("""COMPUTED_VALUE"""),"Exchange Rate Effect
Exchange Rate Effect")</f>
        <v>Exchange Rate Effect
Exchange Rate Effect</v>
      </c>
      <c r="B151" s="73" t="str">
        <f>IFERROR(__xludf.DUMMYFUNCTION("""COMPUTED_VALUE"""),"(133M)")</f>
        <v>(133M)</v>
      </c>
      <c r="C151" s="73" t="str">
        <f>IFERROR(__xludf.DUMMYFUNCTION("""COMPUTED_VALUE"""),"(410M)")</f>
        <v>(410M)</v>
      </c>
      <c r="D151" s="73" t="str">
        <f>IFERROR(__xludf.DUMMYFUNCTION("""COMPUTED_VALUE"""),"23M")</f>
        <v>23M</v>
      </c>
      <c r="E151" s="73" t="str">
        <f>IFERROR(__xludf.DUMMYFUNCTION("""COMPUTED_VALUE"""),"(293M)")</f>
        <v>(293M)</v>
      </c>
      <c r="F151" s="73" t="str">
        <f>IFERROR(__xludf.DUMMYFUNCTION("""COMPUTED_VALUE"""),"563M")</f>
        <v>563M</v>
      </c>
      <c r="G151" s="73"/>
    </row>
    <row r="152">
      <c r="A152" s="73" t="str">
        <f>IFERROR(__xludf.DUMMYFUNCTION("""COMPUTED_VALUE"""),"Miscellaneous Funds
Miscellaneous Funds")</f>
        <v>Miscellaneous Funds
Miscellaneous Funds</v>
      </c>
      <c r="B152" s="73" t="str">
        <f>IFERROR(__xludf.DUMMYFUNCTION("""COMPUTED_VALUE"""),"-")</f>
        <v>-</v>
      </c>
      <c r="C152" s="73" t="str">
        <f>IFERROR(__xludf.DUMMYFUNCTION("""COMPUTED_VALUE"""),"-")</f>
        <v>-</v>
      </c>
      <c r="D152" s="73" t="str">
        <f>IFERROR(__xludf.DUMMYFUNCTION("""COMPUTED_VALUE"""),"-")</f>
        <v>-</v>
      </c>
      <c r="E152" s="73" t="str">
        <f>IFERROR(__xludf.DUMMYFUNCTION("""COMPUTED_VALUE"""),"-")</f>
        <v>-</v>
      </c>
      <c r="F152" s="73" t="str">
        <f>IFERROR(__xludf.DUMMYFUNCTION("""COMPUTED_VALUE"""),"-")</f>
        <v>-</v>
      </c>
      <c r="G152" s="73"/>
    </row>
    <row r="153">
      <c r="A153" s="73" t="str">
        <f>IFERROR(__xludf.DUMMYFUNCTION("""COMPUTED_VALUE"""),"Net Change in Cash
Net Change in Cash")</f>
        <v>Net Change in Cash
Net Change in Cash</v>
      </c>
      <c r="B153" s="73" t="str">
        <f>IFERROR(__xludf.DUMMYFUNCTION("""COMPUTED_VALUE"""),"14M")</f>
        <v>14M</v>
      </c>
      <c r="C153" s="73" t="str">
        <f>IFERROR(__xludf.DUMMYFUNCTION("""COMPUTED_VALUE"""),"4.61B")</f>
        <v>4.61B</v>
      </c>
      <c r="D153" s="73" t="str">
        <f>IFERROR(__xludf.DUMMYFUNCTION("""COMPUTED_VALUE"""),"(5.86B)")</f>
        <v>(5.86B)</v>
      </c>
      <c r="E153" s="73" t="str">
        <f>IFERROR(__xludf.DUMMYFUNCTION("""COMPUTED_VALUE"""),"6.41B")</f>
        <v>6.41B</v>
      </c>
      <c r="F153" s="73" t="str">
        <f>IFERROR(__xludf.DUMMYFUNCTION("""COMPUTED_VALUE"""),"1.37B")</f>
        <v>1.37B</v>
      </c>
      <c r="G153" s="73"/>
    </row>
    <row r="154">
      <c r="A154" s="73" t="str">
        <f>IFERROR(__xludf.DUMMYFUNCTION("""COMPUTED_VALUE"""),"Free Cash Flow
Free Cash Flow")</f>
        <v>Free Cash Flow
Free Cash Flow</v>
      </c>
      <c r="B154" s="73" t="str">
        <f>IFERROR(__xludf.DUMMYFUNCTION("""COMPUTED_VALUE"""),"9.66B")</f>
        <v>9.66B</v>
      </c>
      <c r="C154" s="73" t="str">
        <f>IFERROR(__xludf.DUMMYFUNCTION("""COMPUTED_VALUE"""),"14.71B")</f>
        <v>14.71B</v>
      </c>
      <c r="D154" s="73" t="str">
        <f>IFERROR(__xludf.DUMMYFUNCTION("""COMPUTED_VALUE"""),"9.14B")</f>
        <v>9.14B</v>
      </c>
      <c r="E154" s="73" t="str">
        <f>IFERROR(__xludf.DUMMYFUNCTION("""COMPUTED_VALUE"""),"18.1B")</f>
        <v>18.1B</v>
      </c>
      <c r="F154" s="73" t="str">
        <f>IFERROR(__xludf.DUMMYFUNCTION("""COMPUTED_VALUE"""),"12.36B")</f>
        <v>12.36B</v>
      </c>
      <c r="G154" s="73"/>
    </row>
    <row r="155">
      <c r="A155" s="73" t="str">
        <f>IFERROR(__xludf.DUMMYFUNCTION("""COMPUTED_VALUE"""),"Free Cash Flow Growth
Free Cash Flow Growth")</f>
        <v>Free Cash Flow Growth
Free Cash Flow Growth</v>
      </c>
      <c r="B155" s="73" t="str">
        <f>IFERROR(__xludf.DUMMYFUNCTION("""COMPUTED_VALUE"""),"-")</f>
        <v>-</v>
      </c>
      <c r="C155" s="72">
        <f>IFERROR(__xludf.DUMMYFUNCTION("""COMPUTED_VALUE"""),0.5223)</f>
        <v>0.5223</v>
      </c>
      <c r="D155" s="72">
        <f>IFERROR(__xludf.DUMMYFUNCTION("""COMPUTED_VALUE"""),-0.3783)</f>
        <v>-0.3783</v>
      </c>
      <c r="E155" s="72">
        <f>IFERROR(__xludf.DUMMYFUNCTION("""COMPUTED_VALUE"""),0.9792)</f>
        <v>0.9792</v>
      </c>
      <c r="F155" s="72">
        <f>IFERROR(__xludf.DUMMYFUNCTION("""COMPUTED_VALUE"""),-0.317)</f>
        <v>-0.317</v>
      </c>
      <c r="G155" s="73"/>
    </row>
    <row r="156">
      <c r="A156" s="73" t="str">
        <f>IFERROR(__xludf.DUMMYFUNCTION("""COMPUTED_VALUE"""),"Free Cash Flow Yield
Free Cash Flow Yield")</f>
        <v>Free Cash Flow Yield
Free Cash Flow Yield</v>
      </c>
      <c r="B156" s="73" t="str">
        <f>IFERROR(__xludf.DUMMYFUNCTION("""COMPUTED_VALUE"""),"-")</f>
        <v>-</v>
      </c>
      <c r="C156" s="73" t="str">
        <f>IFERROR(__xludf.DUMMYFUNCTION("""COMPUTED_VALUE"""),"-")</f>
        <v>-</v>
      </c>
      <c r="D156" s="73" t="str">
        <f>IFERROR(__xludf.DUMMYFUNCTION("""COMPUTED_VALUE"""),"-")</f>
        <v>-</v>
      </c>
      <c r="E156" s="73" t="str">
        <f>IFERROR(__xludf.DUMMYFUNCTION("""COMPUTED_VALUE"""),"-")</f>
        <v>-</v>
      </c>
      <c r="F156" s="73">
        <f>IFERROR(__xludf.DUMMYFUNCTION("""COMPUTED_VALUE"""),1.59)</f>
        <v>1.59</v>
      </c>
      <c r="G156" s="73"/>
    </row>
    <row r="158">
      <c r="A158" s="144"/>
      <c r="G158" s="72"/>
    </row>
    <row r="160">
      <c r="E160" s="145"/>
      <c r="F160" s="145"/>
      <c r="G160" s="145"/>
      <c r="H160" s="145"/>
      <c r="I160" s="145"/>
    </row>
    <row r="161">
      <c r="A161" s="146" t="s">
        <v>106</v>
      </c>
      <c r="B161" s="146" t="s">
        <v>107</v>
      </c>
      <c r="C161" s="146" t="s">
        <v>108</v>
      </c>
      <c r="F161" s="145"/>
      <c r="G161" s="145"/>
      <c r="H161" s="145"/>
      <c r="I161" s="145"/>
    </row>
    <row r="162">
      <c r="A162" s="147">
        <v>45901.0</v>
      </c>
      <c r="B162" s="148">
        <f>IFERROR(__xludf.DUMMYFUNCTION("GOOGLEFINANCE('Income Statement'!$D$1)"),125.37)</f>
        <v>125.37</v>
      </c>
      <c r="C162" s="149">
        <f t="shared" ref="C162:C229" si="1">B162/B163-1</f>
        <v>0.0885647304</v>
      </c>
      <c r="D162" s="150"/>
      <c r="E162" s="148"/>
      <c r="F162" s="151"/>
      <c r="G162" s="145"/>
      <c r="H162" s="145"/>
      <c r="I162" s="145"/>
    </row>
    <row r="163">
      <c r="A163" s="147">
        <v>45870.0</v>
      </c>
      <c r="B163" s="148">
        <f>IFERROR(__xludf.DUMMYFUNCTION("INDEX(GOOGLEFINANCE('Income Statement'!$D$1,""price"",EDATE(TODAY(),-1)),2,2)"),115.17)</f>
        <v>115.17</v>
      </c>
      <c r="C163" s="149">
        <f t="shared" si="1"/>
        <v>0.02683666191</v>
      </c>
      <c r="D163" s="150"/>
      <c r="E163" s="148"/>
      <c r="F163" s="151"/>
      <c r="G163" s="149"/>
      <c r="H163" s="145"/>
      <c r="I163" s="145"/>
    </row>
    <row r="164">
      <c r="A164" s="147">
        <v>45839.0</v>
      </c>
      <c r="B164" s="148">
        <f>IFERROR(__xludf.DUMMYFUNCTION("INDEX(GOOGLEFINANCE('Income Statement'!$D$1,""price"",EDATE(TODAY(),-2)),2,2)"),112.16)</f>
        <v>112.16</v>
      </c>
      <c r="C164" s="149">
        <f t="shared" si="1"/>
        <v>-0.0718305197</v>
      </c>
      <c r="D164" s="150"/>
      <c r="E164" s="148"/>
      <c r="F164" s="151"/>
      <c r="G164" s="149"/>
      <c r="H164" s="145"/>
      <c r="I164" s="145"/>
    </row>
    <row r="165">
      <c r="A165" s="147">
        <v>45809.0</v>
      </c>
      <c r="B165" s="148">
        <f>IFERROR(__xludf.DUMMYFUNCTION("INDEX(GOOGLEFINANCE('Income Statement'!$D$1,""price"",EDATE(TODAY(),-3)),2,2)"),120.84)</f>
        <v>120.84</v>
      </c>
      <c r="C165" s="149">
        <f t="shared" si="1"/>
        <v>-0.004694835681</v>
      </c>
      <c r="D165" s="150"/>
      <c r="E165" s="148"/>
      <c r="F165" s="151"/>
      <c r="G165" s="149"/>
      <c r="H165" s="145"/>
      <c r="I165" s="145"/>
    </row>
    <row r="166">
      <c r="A166" s="147">
        <v>45778.0</v>
      </c>
      <c r="B166" s="148">
        <f>IFERROR(__xludf.DUMMYFUNCTION("INDEX(GOOGLEFINANCE('Income Statement'!$D$1,""price"",EDATE(TODAY(),-4)),2,2)"),121.41)</f>
        <v>121.41</v>
      </c>
      <c r="C166" s="149">
        <f t="shared" si="1"/>
        <v>0.07091823234</v>
      </c>
      <c r="D166" s="150"/>
      <c r="E166" s="148"/>
      <c r="F166" s="151"/>
      <c r="G166" s="149"/>
      <c r="H166" s="145"/>
      <c r="I166" s="145"/>
    </row>
    <row r="167">
      <c r="A167" s="147">
        <v>45748.0</v>
      </c>
      <c r="B167" s="148">
        <f>IFERROR(__xludf.DUMMYFUNCTION("INDEX(GOOGLEFINANCE('Income Statement'!$D$1,""price"",EDATE(TODAY(),-5)),2,2)"),113.37)</f>
        <v>113.37</v>
      </c>
      <c r="C167" s="149">
        <f t="shared" si="1"/>
        <v>0.06500704556</v>
      </c>
      <c r="D167" s="150"/>
      <c r="E167" s="148"/>
      <c r="F167" s="151"/>
      <c r="G167" s="152"/>
      <c r="H167" s="145"/>
      <c r="I167" s="145"/>
    </row>
    <row r="168">
      <c r="A168" s="147">
        <v>45717.0</v>
      </c>
      <c r="B168" s="148">
        <f>IFERROR(__xludf.DUMMYFUNCTION("INDEX(GOOGLEFINANCE('Income Statement'!$D$1,""price"",EDATE(TODAY(),-6)),2,2)"),106.45)</f>
        <v>106.45</v>
      </c>
      <c r="C168" s="149">
        <f t="shared" si="1"/>
        <v>0.04536973387</v>
      </c>
      <c r="D168" s="150"/>
      <c r="E168" s="148"/>
      <c r="F168" s="151"/>
      <c r="G168" s="149"/>
      <c r="H168" s="145"/>
      <c r="I168" s="145"/>
    </row>
    <row r="169">
      <c r="A169" s="147">
        <v>45689.0</v>
      </c>
      <c r="B169" s="148">
        <f>IFERROR(__xludf.DUMMYFUNCTION("INDEX(GOOGLEFINANCE('Income Statement'!$D$1,""price"",EDATE(TODAY(),-7)),2,2)"),101.83)</f>
        <v>101.83</v>
      </c>
      <c r="C169" s="149">
        <f t="shared" si="1"/>
        <v>0.2344526609</v>
      </c>
      <c r="D169" s="150"/>
      <c r="E169" s="148"/>
      <c r="F169" s="151"/>
      <c r="G169" s="149"/>
      <c r="H169" s="145"/>
      <c r="I169" s="145"/>
    </row>
    <row r="170">
      <c r="A170" s="147">
        <v>45658.0</v>
      </c>
      <c r="B170" s="148">
        <f>IFERROR(__xludf.DUMMYFUNCTION("INDEX(GOOGLEFINANCE('Income Statement'!$D$1,""price"",EDATE(TODAY(),-8)),2,2)"),82.49)</f>
        <v>82.49</v>
      </c>
      <c r="C170" s="149">
        <f t="shared" si="1"/>
        <v>-0.08476644846</v>
      </c>
      <c r="D170" s="150"/>
      <c r="E170" s="148"/>
      <c r="F170" s="151"/>
      <c r="G170" s="149"/>
      <c r="H170" s="145"/>
      <c r="I170" s="145"/>
    </row>
    <row r="171">
      <c r="A171" s="153">
        <v>45627.0</v>
      </c>
      <c r="B171" s="148">
        <f>IFERROR(__xludf.DUMMYFUNCTION("INDEX(GOOGLEFINANCE('Income Statement'!$D$1,""price"",EDATE(TODAY(),-9)),2,2)"),90.13)</f>
        <v>90.13</v>
      </c>
      <c r="C171" s="149">
        <f t="shared" si="1"/>
        <v>0.05439868975</v>
      </c>
      <c r="D171" s="150"/>
      <c r="E171" s="148"/>
      <c r="F171" s="151"/>
      <c r="G171" s="149"/>
      <c r="H171" s="145"/>
      <c r="I171" s="145"/>
    </row>
    <row r="172">
      <c r="A172" s="153">
        <v>45597.0</v>
      </c>
      <c r="B172" s="148">
        <f>IFERROR(__xludf.DUMMYFUNCTION("INDEX(GOOGLEFINANCE('Income Statement'!$D$1,""price"",EDATE(TODAY(),-10)),2,2)"),85.48)</f>
        <v>85.48</v>
      </c>
      <c r="C172" s="149">
        <f t="shared" si="1"/>
        <v>0.07806785219</v>
      </c>
      <c r="D172" s="150"/>
      <c r="E172" s="148"/>
      <c r="F172" s="151"/>
      <c r="G172" s="149"/>
      <c r="H172" s="145"/>
      <c r="I172" s="145"/>
    </row>
    <row r="173">
      <c r="A173" s="153">
        <v>45566.0</v>
      </c>
      <c r="B173" s="148">
        <f>IFERROR(__xludf.DUMMYFUNCTION("INDEX(GOOGLEFINANCE('Income Statement'!$D$1,""price"",EDATE(TODAY(),-11)),2,2)"),79.29)</f>
        <v>79.29</v>
      </c>
      <c r="C173" s="149">
        <f t="shared" si="1"/>
        <v>-0.03080308031</v>
      </c>
      <c r="D173" s="150"/>
      <c r="E173" s="148"/>
      <c r="F173" s="151"/>
      <c r="G173" s="149"/>
      <c r="H173" s="145"/>
      <c r="I173" s="145"/>
    </row>
    <row r="174">
      <c r="A174" s="147">
        <v>45536.0</v>
      </c>
      <c r="B174" s="148">
        <f>IFERROR(__xludf.DUMMYFUNCTION("INDEX(GOOGLEFINANCE('Income Statement'!$D$1,""price"",EDATE(TODAY(),-12)),2,2)"),81.81)</f>
        <v>81.81</v>
      </c>
      <c r="C174" s="149">
        <f t="shared" si="1"/>
        <v>0.07291803279</v>
      </c>
      <c r="D174" s="150"/>
      <c r="E174" s="148"/>
      <c r="F174" s="151"/>
      <c r="G174" s="149"/>
      <c r="H174" s="145"/>
      <c r="I174" s="145"/>
    </row>
    <row r="175">
      <c r="A175" s="147">
        <v>45505.0</v>
      </c>
      <c r="B175" s="148">
        <f>IFERROR(__xludf.DUMMYFUNCTION("INDEX(GOOGLEFINANCE('Income Statement'!$D$1,""price"",EDATE(TODAY(),-13)),2,2)"),76.25)</f>
        <v>76.25</v>
      </c>
      <c r="C175" s="149">
        <f t="shared" si="1"/>
        <v>-0.0841940908</v>
      </c>
      <c r="D175" s="150"/>
      <c r="E175" s="148"/>
      <c r="F175" s="151"/>
      <c r="G175" s="149"/>
      <c r="H175" s="145"/>
      <c r="I175" s="145"/>
    </row>
    <row r="176">
      <c r="A176" s="147">
        <v>45474.0</v>
      </c>
      <c r="B176" s="148">
        <f>IFERROR(__xludf.DUMMYFUNCTION("INDEX(GOOGLEFINANCE('Income Statement'!$D$1,""price"",EDATE(TODAY(),-14)),2,2)"),83.26)</f>
        <v>83.26</v>
      </c>
      <c r="C176" s="149">
        <f t="shared" si="1"/>
        <v>-0.0443067034</v>
      </c>
      <c r="D176" s="150"/>
      <c r="E176" s="148"/>
      <c r="F176" s="151"/>
      <c r="G176" s="149"/>
      <c r="H176" s="145"/>
      <c r="I176" s="145"/>
    </row>
    <row r="177">
      <c r="A177" s="147">
        <v>45444.0</v>
      </c>
      <c r="B177" s="148">
        <f>IFERROR(__xludf.DUMMYFUNCTION("INDEX(GOOGLEFINANCE('Income Statement'!$D$1,""price"",EDATE(TODAY(),-15)),2,2)"),87.12)</f>
        <v>87.12</v>
      </c>
      <c r="C177" s="149">
        <f t="shared" si="1"/>
        <v>-0.06473429952</v>
      </c>
      <c r="D177" s="150"/>
      <c r="E177" s="148"/>
      <c r="F177" s="151"/>
      <c r="G177" s="149"/>
      <c r="H177" s="145"/>
      <c r="I177" s="145"/>
    </row>
    <row r="178">
      <c r="A178" s="147">
        <v>45413.0</v>
      </c>
      <c r="B178" s="148">
        <f>IFERROR(__xludf.DUMMYFUNCTION("INDEX(GOOGLEFINANCE('Income Statement'!$D$1,""price"",EDATE(TODAY(),-16)),2,2)"),93.15)</f>
        <v>93.15</v>
      </c>
      <c r="C178" s="149">
        <f t="shared" si="1"/>
        <v>-0.06653973344</v>
      </c>
      <c r="D178" s="150"/>
      <c r="E178" s="148"/>
      <c r="F178" s="151"/>
      <c r="G178" s="149"/>
      <c r="H178" s="145"/>
      <c r="I178" s="145"/>
    </row>
    <row r="179">
      <c r="A179" s="147">
        <v>45383.0</v>
      </c>
      <c r="B179" s="148">
        <f>IFERROR(__xludf.DUMMYFUNCTION("INDEX(GOOGLEFINANCE('Income Statement'!$D$1,""price"",EDATE(TODAY(),-17)),2,2)"),99.79)</f>
        <v>99.79</v>
      </c>
      <c r="C179" s="149">
        <f t="shared" si="1"/>
        <v>0.006251890693</v>
      </c>
      <c r="D179" s="150"/>
      <c r="E179" s="148"/>
      <c r="F179" s="151"/>
      <c r="G179" s="149"/>
      <c r="H179" s="145"/>
      <c r="I179" s="145"/>
    </row>
    <row r="180">
      <c r="A180" s="147">
        <v>45352.0</v>
      </c>
      <c r="B180" s="148">
        <f>IFERROR(__xludf.DUMMYFUNCTION("INDEX(GOOGLEFINANCE('Income Statement'!$D$1,""price"",EDATE(TODAY(),-18)),2,2)"),99.17)</f>
        <v>99.17</v>
      </c>
      <c r="C180" s="149">
        <f t="shared" si="1"/>
        <v>-0.01431269258</v>
      </c>
      <c r="E180" s="145"/>
      <c r="F180" s="145"/>
      <c r="G180" s="149"/>
      <c r="H180" s="145"/>
      <c r="I180" s="145"/>
    </row>
    <row r="181">
      <c r="A181" s="154">
        <v>45323.0</v>
      </c>
      <c r="B181" s="148">
        <f>IFERROR(__xludf.DUMMYFUNCTION("INDEX(GOOGLEFINANCE('Income Statement'!$D$1,""price"",EDATE(TODAY(),-19)),2,2)"),100.61)</f>
        <v>100.61</v>
      </c>
      <c r="C181" s="149">
        <f t="shared" si="1"/>
        <v>-0.01246564586</v>
      </c>
      <c r="E181" s="145"/>
      <c r="F181" s="145"/>
      <c r="G181" s="149"/>
      <c r="H181" s="145"/>
      <c r="I181" s="145"/>
    </row>
    <row r="182">
      <c r="A182" s="155">
        <v>45292.0</v>
      </c>
      <c r="B182" s="148">
        <f>IFERROR(__xludf.DUMMYFUNCTION("INDEX(GOOGLEFINANCE('Income Statement'!$D$1,""price"",EDATE(TODAY(),-20)),2,2)"),101.88)</f>
        <v>101.88</v>
      </c>
      <c r="C182" s="149">
        <f t="shared" si="1"/>
        <v>-0.1120794841</v>
      </c>
      <c r="E182" s="145"/>
      <c r="F182" s="145"/>
      <c r="G182" s="149"/>
      <c r="H182" s="145"/>
      <c r="I182" s="145"/>
    </row>
    <row r="183">
      <c r="A183" s="155">
        <v>45261.0</v>
      </c>
      <c r="B183" s="148">
        <f>IFERROR(__xludf.DUMMYFUNCTION("INDEX(GOOGLEFINANCE('Income Statement'!$D$1,""price"",EDATE(TODAY(),-21)),2,2)"),114.74)</f>
        <v>114.74</v>
      </c>
      <c r="C183" s="149">
        <f t="shared" si="1"/>
        <v>-0.0157831532</v>
      </c>
      <c r="E183" s="145"/>
      <c r="F183" s="145"/>
      <c r="G183" s="149"/>
      <c r="H183" s="145"/>
      <c r="I183" s="145"/>
    </row>
    <row r="184">
      <c r="A184" s="155">
        <v>45232.0</v>
      </c>
      <c r="B184" s="148">
        <f>IFERROR(__xludf.DUMMYFUNCTION("INDEX(GOOGLEFINANCE('Income Statement'!$D$1,""price"",EDATE(TODAY(),-22)),2,2)"),116.58)</f>
        <v>116.58</v>
      </c>
      <c r="C184" s="149">
        <f t="shared" si="1"/>
        <v>0.02424881392</v>
      </c>
      <c r="E184" s="145"/>
      <c r="F184" s="145"/>
      <c r="G184" s="149"/>
      <c r="H184" s="145"/>
      <c r="I184" s="145"/>
    </row>
    <row r="185">
      <c r="A185" s="155">
        <v>45202.0</v>
      </c>
      <c r="B185" s="148">
        <f>IFERROR(__xludf.DUMMYFUNCTION("INDEX(GOOGLEFINANCE('Income Statement'!$D$1,""price"",EDATE(TODAY(),-23)),2,2)"),113.82)</f>
        <v>113.82</v>
      </c>
      <c r="C185" s="149">
        <f t="shared" si="1"/>
        <v>-0.1100860047</v>
      </c>
    </row>
    <row r="186">
      <c r="A186" s="155">
        <v>45173.0</v>
      </c>
      <c r="B186" s="148">
        <f>IFERROR(__xludf.DUMMYFUNCTION("INDEX(GOOGLEFINANCE('Income Statement'!$D$1,""price"",EDATE(TODAY(),-24)),2,2)"),127.9)</f>
        <v>127.9</v>
      </c>
      <c r="C186" s="149">
        <f t="shared" si="1"/>
        <v>-0.004049213518</v>
      </c>
      <c r="G186" s="72"/>
    </row>
    <row r="187">
      <c r="A187" s="155">
        <v>45143.0</v>
      </c>
      <c r="B187" s="148">
        <f>IFERROR(__xludf.DUMMYFUNCTION("INDEX(GOOGLEFINANCE('Income Statement'!$D$1,""price"",EDATE(TODAY(),-25)),2,2)"),128.42)</f>
        <v>128.42</v>
      </c>
      <c r="C187" s="149">
        <f t="shared" si="1"/>
        <v>-0.002950310559</v>
      </c>
      <c r="G187" s="72"/>
    </row>
    <row r="188">
      <c r="A188" s="155">
        <v>45113.0</v>
      </c>
      <c r="B188" s="148">
        <f>IFERROR(__xludf.DUMMYFUNCTION("INDEX(GOOGLEFINANCE('Income Statement'!$D$1,""price"",EDATE(TODAY(),-26)),2,2)"),128.8)</f>
        <v>128.8</v>
      </c>
      <c r="C188" s="149">
        <f t="shared" si="1"/>
        <v>-0.0167188335</v>
      </c>
      <c r="G188" s="72"/>
    </row>
    <row r="189">
      <c r="A189" s="155">
        <v>45084.0</v>
      </c>
      <c r="B189" s="148">
        <f>IFERROR(__xludf.DUMMYFUNCTION("INDEX(GOOGLEFINANCE('Income Statement'!$D$1,""price"",EDATE(TODAY(),-27)),2,2)"),130.99)</f>
        <v>130.99</v>
      </c>
      <c r="C189" s="149">
        <f t="shared" si="1"/>
        <v>0.03174228103</v>
      </c>
      <c r="G189" s="72"/>
    </row>
    <row r="190">
      <c r="A190" s="155">
        <v>45054.0</v>
      </c>
      <c r="B190" s="148">
        <f>IFERROR(__xludf.DUMMYFUNCTION("INDEX(GOOGLEFINANCE('Income Statement'!$D$1,""price"",EDATE(TODAY(),-28)),2,2)"),126.96)</f>
        <v>126.96</v>
      </c>
      <c r="C190" s="149">
        <f t="shared" si="1"/>
        <v>0.004589333755</v>
      </c>
      <c r="G190" s="72"/>
    </row>
    <row r="191">
      <c r="A191" s="155">
        <v>45025.0</v>
      </c>
      <c r="B191" s="148">
        <f>IFERROR(__xludf.DUMMYFUNCTION("INDEX(GOOGLEFINANCE('Income Statement'!$D$1,""price"",EDATE(TODAY(),-29)),2,2)"),126.38)</f>
        <v>126.38</v>
      </c>
      <c r="C191" s="149">
        <f t="shared" si="1"/>
        <v>0.1160367361</v>
      </c>
      <c r="G191" s="72"/>
    </row>
    <row r="192">
      <c r="A192" s="155">
        <v>44995.0</v>
      </c>
      <c r="B192" s="148">
        <f>IFERROR(__xludf.DUMMYFUNCTION("INDEX(GOOGLEFINANCE('Income Statement'!$D$1,""price"",EDATE(TODAY(),-30)),2,2)"),113.24)</f>
        <v>113.24</v>
      </c>
      <c r="C192" s="149">
        <f t="shared" si="1"/>
        <v>0.09452928668</v>
      </c>
      <c r="G192" s="72"/>
    </row>
    <row r="193">
      <c r="A193" s="155">
        <v>44968.0</v>
      </c>
      <c r="B193" s="148">
        <f>IFERROR(__xludf.DUMMYFUNCTION("INDEX(GOOGLEFINANCE('Income Statement'!$D$1,""price"",EDATE(TODAY(),-31)),2,2)"),103.46)</f>
        <v>103.46</v>
      </c>
      <c r="C193" s="149">
        <f t="shared" si="1"/>
        <v>0.005930967428</v>
      </c>
      <c r="G193" s="72"/>
    </row>
    <row r="194">
      <c r="A194" s="155">
        <v>44938.0</v>
      </c>
      <c r="B194" s="148">
        <f>IFERROR(__xludf.DUMMYFUNCTION("INDEX(GOOGLEFINANCE('Income Statement'!$D$1,""price"",EDATE(TODAY(),-32)),2,2)"),102.85)</f>
        <v>102.85</v>
      </c>
      <c r="C194" s="149">
        <f t="shared" si="1"/>
        <v>0.002925402243</v>
      </c>
      <c r="G194" s="72"/>
    </row>
    <row r="195">
      <c r="A195" s="155">
        <v>44908.0</v>
      </c>
      <c r="B195" s="148">
        <f>IFERROR(__xludf.DUMMYFUNCTION("INDEX(GOOGLEFINANCE('Income Statement'!$D$1,""price"",EDATE(TODAY(),-33)),2,2)"),102.55)</f>
        <v>102.55</v>
      </c>
      <c r="C195" s="149">
        <f t="shared" si="1"/>
        <v>-0.06636926438</v>
      </c>
      <c r="G195" s="72"/>
    </row>
    <row r="196">
      <c r="A196" s="155">
        <v>44878.0</v>
      </c>
      <c r="B196" s="148">
        <f>IFERROR(__xludf.DUMMYFUNCTION("INDEX(GOOGLEFINANCE('Income Statement'!$D$1,""price"",EDATE(TODAY(),-34)),2,2)"),109.84)</f>
        <v>109.84</v>
      </c>
      <c r="C196" s="149">
        <f t="shared" si="1"/>
        <v>0.04331306991</v>
      </c>
      <c r="G196" s="72"/>
    </row>
    <row r="197">
      <c r="A197" s="155">
        <v>44847.0</v>
      </c>
      <c r="B197" s="148">
        <f>IFERROR(__xludf.DUMMYFUNCTION("INDEX(GOOGLEFINANCE('Income Statement'!$D$1,""price"",EDATE(TODAY(),-35)),2,2)"),105.28)</f>
        <v>105.28</v>
      </c>
      <c r="C197" s="149">
        <f t="shared" si="1"/>
        <v>-0.07915682673</v>
      </c>
      <c r="G197" s="72"/>
    </row>
    <row r="198">
      <c r="A198" s="155">
        <v>44818.0</v>
      </c>
      <c r="B198" s="148">
        <f>IFERROR(__xludf.DUMMYFUNCTION("INDEX(GOOGLEFINANCE('Income Statement'!$D$1,""price"",EDATE(TODAY(),-36)),2,2)"),114.33)</f>
        <v>114.33</v>
      </c>
      <c r="C198" s="149">
        <f t="shared" si="1"/>
        <v>0.03064995943</v>
      </c>
      <c r="G198" s="72"/>
    </row>
    <row r="199">
      <c r="A199" s="156">
        <v>44774.0</v>
      </c>
      <c r="B199" s="148">
        <f>IFERROR(__xludf.DUMMYFUNCTION("INDEX(GOOGLEFINANCE('Income Statement'!$D$1,""price"",EDATE(TODAY(),-37)),2,2)"),110.93)</f>
        <v>110.93</v>
      </c>
      <c r="C199" s="149">
        <f t="shared" si="1"/>
        <v>-0.04650163314</v>
      </c>
      <c r="G199" s="72"/>
    </row>
    <row r="200">
      <c r="A200" s="155">
        <v>44758.0</v>
      </c>
      <c r="B200" s="148">
        <f>IFERROR(__xludf.DUMMYFUNCTION("INDEX(GOOGLEFINANCE('Income Statement'!$D$1,""price"",EDATE(TODAY(),-38)),2,2)"),116.34)</f>
        <v>116.34</v>
      </c>
      <c r="C200" s="149">
        <f t="shared" si="1"/>
        <v>0.06861394324</v>
      </c>
      <c r="G200" s="72"/>
    </row>
    <row r="201">
      <c r="A201" s="155">
        <v>44729.0</v>
      </c>
      <c r="B201" s="148">
        <f>IFERROR(__xludf.DUMMYFUNCTION("INDEX(GOOGLEFINANCE('Income Statement'!$D$1,""price"",EDATE(TODAY(),-39)),2,2)"),108.87)</f>
        <v>108.87</v>
      </c>
      <c r="C201" s="149">
        <f t="shared" si="1"/>
        <v>0.02081575246</v>
      </c>
      <c r="G201" s="72"/>
    </row>
    <row r="202">
      <c r="A202" s="155">
        <v>44699.0</v>
      </c>
      <c r="B202" s="148">
        <f>IFERROR(__xludf.DUMMYFUNCTION("INDEX(GOOGLEFINANCE('Income Statement'!$D$1,""price"",EDATE(TODAY(),-40)),2,2)"),106.65)</f>
        <v>106.65</v>
      </c>
      <c r="C202" s="149">
        <f t="shared" si="1"/>
        <v>-0.003084688727</v>
      </c>
      <c r="G202" s="72"/>
    </row>
    <row r="203">
      <c r="A203" s="155">
        <v>44670.0</v>
      </c>
      <c r="B203" s="148">
        <f>IFERROR(__xludf.DUMMYFUNCTION("INDEX(GOOGLEFINANCE('Income Statement'!$D$1,""price"",EDATE(TODAY(),-41)),2,2)"),106.98)</f>
        <v>106.98</v>
      </c>
      <c r="C203" s="149">
        <f t="shared" si="1"/>
        <v>-0.03743026813</v>
      </c>
      <c r="G203" s="72"/>
    </row>
    <row r="204">
      <c r="A204" s="155">
        <v>44640.0</v>
      </c>
      <c r="B204" s="148">
        <f>IFERROR(__xludf.DUMMYFUNCTION("INDEX(GOOGLEFINANCE('Income Statement'!$D$1,""price"",EDATE(TODAY(),-42)),2,2)"),111.14)</f>
        <v>111.14</v>
      </c>
      <c r="C204" s="149">
        <f t="shared" si="1"/>
        <v>0.01220400729</v>
      </c>
      <c r="G204" s="72"/>
    </row>
    <row r="205">
      <c r="A205" s="155">
        <v>44613.0</v>
      </c>
      <c r="B205" s="148">
        <f>IFERROR(__xludf.DUMMYFUNCTION("INDEX(GOOGLEFINANCE('Income Statement'!$D$1,""price"",EDATE(TODAY(),-43)),2,2)"),109.8)</f>
        <v>109.8</v>
      </c>
      <c r="C205" s="149">
        <f t="shared" si="1"/>
        <v>0.1006415397</v>
      </c>
    </row>
    <row r="206">
      <c r="A206" s="155">
        <v>44583.0</v>
      </c>
      <c r="B206" s="148">
        <f>IFERROR(__xludf.DUMMYFUNCTION("INDEX(GOOGLEFINANCE('Income Statement'!$D$1,""price"",EDATE(TODAY(),-44)),2,2)"),99.76)</f>
        <v>99.76</v>
      </c>
      <c r="C206" s="149">
        <f t="shared" si="1"/>
        <v>0.1394631639</v>
      </c>
    </row>
    <row r="207">
      <c r="A207" s="155">
        <v>44553.0</v>
      </c>
      <c r="B207" s="148">
        <f>IFERROR(__xludf.DUMMYFUNCTION("INDEX(GOOGLEFINANCE('Income Statement'!$D$1,""price"",EDATE(TODAY(),-45)),2,2)"),87.55)</f>
        <v>87.55</v>
      </c>
      <c r="C207" s="149">
        <f t="shared" si="1"/>
        <v>0.004589787722</v>
      </c>
    </row>
    <row r="208">
      <c r="A208" s="155">
        <v>44524.0</v>
      </c>
      <c r="B208" s="148">
        <f>IFERROR(__xludf.DUMMYFUNCTION("INDEX(GOOGLEFINANCE('Income Statement'!$D$1,""price"",EDATE(TODAY(),-46)),2,2)"),87.15)</f>
        <v>87.15</v>
      </c>
      <c r="C208" s="149">
        <f t="shared" si="1"/>
        <v>-0.01558793629</v>
      </c>
    </row>
    <row r="209">
      <c r="A209" s="155">
        <v>44494.0</v>
      </c>
      <c r="B209" s="148">
        <f>IFERROR(__xludf.DUMMYFUNCTION("INDEX(GOOGLEFINANCE('Income Statement'!$D$1,""price"",EDATE(TODAY(),-47)),2,2)"),88.53)</f>
        <v>88.53</v>
      </c>
      <c r="C209" s="149">
        <f t="shared" si="1"/>
        <v>-0.04209045661</v>
      </c>
    </row>
    <row r="210">
      <c r="A210" s="155">
        <v>44465.0</v>
      </c>
      <c r="B210" s="148">
        <f>IFERROR(__xludf.DUMMYFUNCTION("INDEX(GOOGLEFINANCE('Income Statement'!$D$1,""price"",EDATE(TODAY(),-48)),2,2)"),92.42)</f>
        <v>92.42</v>
      </c>
      <c r="C210" s="149">
        <f t="shared" si="1"/>
        <v>0.01404432741</v>
      </c>
    </row>
    <row r="211">
      <c r="A211" s="155">
        <v>44435.0</v>
      </c>
      <c r="B211" s="148">
        <f>IFERROR(__xludf.DUMMYFUNCTION("INDEX(GOOGLEFINANCE('Income Statement'!$D$1,""price"",EDATE(TODAY(),-49)),2,2)"),91.14)</f>
        <v>91.14</v>
      </c>
      <c r="C211" s="149">
        <f t="shared" si="1"/>
        <v>0.03981745579</v>
      </c>
    </row>
    <row r="212">
      <c r="A212" s="155">
        <v>44405.0</v>
      </c>
      <c r="B212" s="148">
        <f>IFERROR(__xludf.DUMMYFUNCTION("INDEX(GOOGLEFINANCE('Income Statement'!$D$1,""price"",EDATE(TODAY(),-50)),2,2)"),87.65)</f>
        <v>87.65</v>
      </c>
      <c r="C212" s="149">
        <f t="shared" si="1"/>
        <v>0.04944923372</v>
      </c>
    </row>
    <row r="213">
      <c r="A213" s="155">
        <v>44376.0</v>
      </c>
      <c r="B213" s="148">
        <f>IFERROR(__xludf.DUMMYFUNCTION("INDEX(GOOGLEFINANCE('Income Statement'!$D$1,""price"",EDATE(TODAY(),-51)),2,2)"),83.52)</f>
        <v>83.52</v>
      </c>
      <c r="C213" s="149">
        <f t="shared" si="1"/>
        <v>0.09405292114</v>
      </c>
    </row>
    <row r="214">
      <c r="A214" s="155">
        <v>44346.0</v>
      </c>
      <c r="B214" s="148">
        <f>IFERROR(__xludf.DUMMYFUNCTION("INDEX(GOOGLEFINANCE('Income Statement'!$D$1,""price"",EDATE(TODAY(),-52)),2,2)"),76.34)</f>
        <v>76.34</v>
      </c>
      <c r="C214" s="149">
        <f t="shared" si="1"/>
        <v>-0.06811523438</v>
      </c>
    </row>
    <row r="215">
      <c r="A215" s="155">
        <v>44287.0</v>
      </c>
      <c r="B215" s="148">
        <f>IFERROR(__xludf.DUMMYFUNCTION("INDEX(GOOGLEFINANCE('Income Statement'!$D$1,""price"",EDATE(TODAY(),-53)),2,2)"),81.92)</f>
        <v>81.92</v>
      </c>
      <c r="C215" s="149">
        <f t="shared" si="1"/>
        <v>0.06569532978</v>
      </c>
    </row>
    <row r="216">
      <c r="A216" s="155">
        <v>44257.0</v>
      </c>
      <c r="B216" s="148">
        <f>IFERROR(__xludf.DUMMYFUNCTION("INDEX(GOOGLEFINANCE('Income Statement'!$D$1,""price"",EDATE(TODAY(),-54)),2,2)"),76.87)</f>
        <v>76.87</v>
      </c>
      <c r="C216" s="149">
        <f t="shared" si="1"/>
        <v>0.03264373992</v>
      </c>
    </row>
    <row r="217">
      <c r="A217" s="155">
        <v>44230.0</v>
      </c>
      <c r="B217" s="148">
        <f>IFERROR(__xludf.DUMMYFUNCTION("INDEX(GOOGLEFINANCE('Income Statement'!$D$1,""price"",EDATE(TODAY(),-55)),2,2)"),74.44)</f>
        <v>74.44</v>
      </c>
      <c r="C217" s="149">
        <f t="shared" si="1"/>
        <v>-0.1525500911</v>
      </c>
    </row>
    <row r="218">
      <c r="A218" s="155">
        <v>44200.0</v>
      </c>
      <c r="B218" s="148">
        <f>IFERROR(__xludf.DUMMYFUNCTION("INDEX(GOOGLEFINANCE('Income Statement'!$D$1,""price"",EDATE(TODAY(),-56)),2,2)"),87.84)</f>
        <v>87.84</v>
      </c>
      <c r="C218" s="149">
        <f t="shared" si="1"/>
        <v>0.07911547912</v>
      </c>
    </row>
    <row r="219">
      <c r="A219" s="155">
        <v>44170.0</v>
      </c>
      <c r="B219" s="148">
        <f>IFERROR(__xludf.DUMMYFUNCTION("INDEX(GOOGLEFINANCE('Income Statement'!$D$1,""price"",EDATE(TODAY(),-57)),2,2)"),81.4)</f>
        <v>81.4</v>
      </c>
      <c r="C219" s="149">
        <f t="shared" si="1"/>
        <v>0.06852192176</v>
      </c>
    </row>
    <row r="220">
      <c r="A220" s="155">
        <v>44141.0</v>
      </c>
      <c r="B220" s="148">
        <f>IFERROR(__xludf.DUMMYFUNCTION("INDEX(GOOGLEFINANCE('Income Statement'!$D$1,""price"",EDATE(TODAY(),-58)),2,2)"),76.18)</f>
        <v>76.18</v>
      </c>
      <c r="C220" s="149">
        <f t="shared" si="1"/>
        <v>0</v>
      </c>
    </row>
    <row r="221">
      <c r="A221" s="155">
        <v>44111.0</v>
      </c>
      <c r="B221" s="148">
        <f>IFERROR(__xludf.DUMMYFUNCTION("INDEX(GOOGLEFINANCE('Income Statement'!$D$1,""price"",EDATE(TODAY(),-59)),2,2)"),76.18)</f>
        <v>76.18</v>
      </c>
      <c r="C221" s="149">
        <f t="shared" si="1"/>
        <v>-0.0232081036</v>
      </c>
    </row>
    <row r="222">
      <c r="A222" s="155">
        <v>44082.0</v>
      </c>
      <c r="B222" s="148">
        <f>IFERROR(__xludf.DUMMYFUNCTION("INDEX(GOOGLEFINANCE('Income Statement'!$D$1,""price"",EDATE(TODAY(),-60)),2,2)"),77.99)</f>
        <v>77.99</v>
      </c>
      <c r="C222" s="149">
        <f t="shared" si="1"/>
        <v>0.08787836518</v>
      </c>
    </row>
    <row r="223">
      <c r="A223" s="155">
        <v>44052.0</v>
      </c>
      <c r="B223" s="148">
        <f>IFERROR(__xludf.DUMMYFUNCTION("INDEX(GOOGLEFINANCE('Income Statement'!$D$1,""price"",EDATE(TODAY(),-61)),2,2)"),71.69)</f>
        <v>71.69</v>
      </c>
      <c r="C223" s="149">
        <f t="shared" si="1"/>
        <v>-0.0104899931</v>
      </c>
    </row>
    <row r="224">
      <c r="A224" s="155">
        <v>44022.0</v>
      </c>
      <c r="B224" s="148">
        <f>IFERROR(__xludf.DUMMYFUNCTION("INDEX(GOOGLEFINANCE('Income Statement'!$D$1,""price"",EDATE(TODAY(),-62)),2,2)"),72.45)</f>
        <v>72.45</v>
      </c>
      <c r="C224" s="149">
        <f t="shared" si="1"/>
        <v>-0.01441980683</v>
      </c>
    </row>
    <row r="225">
      <c r="A225" s="155">
        <v>43993.0</v>
      </c>
      <c r="B225" s="148">
        <f>IFERROR(__xludf.DUMMYFUNCTION("INDEX(GOOGLEFINANCE('Income Statement'!$D$1,""price"",EDATE(TODAY(),-63)),2,2)"),73.51)</f>
        <v>73.51</v>
      </c>
      <c r="C225" s="149">
        <f t="shared" si="1"/>
        <v>0.06505360765</v>
      </c>
    </row>
    <row r="226">
      <c r="A226" s="155">
        <v>43963.0</v>
      </c>
      <c r="B226" s="148">
        <f>IFERROR(__xludf.DUMMYFUNCTION("INDEX(GOOGLEFINANCE('Income Statement'!$D$1,""price"",EDATE(TODAY(),-64)),2,2)"),69.02)</f>
        <v>69.02</v>
      </c>
      <c r="C226" s="149">
        <f t="shared" si="1"/>
        <v>-0.06426247289</v>
      </c>
    </row>
    <row r="227">
      <c r="A227" s="155">
        <v>43934.0</v>
      </c>
      <c r="B227" s="148">
        <f>IFERROR(__xludf.DUMMYFUNCTION("INDEX(GOOGLEFINANCE('Income Statement'!$D$1,""price"",EDATE(TODAY(),-65)),2,2)"),73.76)</f>
        <v>73.76</v>
      </c>
      <c r="C227" s="149">
        <f t="shared" si="1"/>
        <v>-0.04455958549</v>
      </c>
    </row>
    <row r="228">
      <c r="A228" s="155">
        <v>43904.0</v>
      </c>
      <c r="B228" s="148">
        <f>IFERROR(__xludf.DUMMYFUNCTION("INDEX(GOOGLEFINANCE('Income Statement'!$D$1,""price"",EDATE(TODAY(),-66)),2,2)"),77.2)</f>
        <v>77.2</v>
      </c>
      <c r="C228" s="149">
        <f t="shared" si="1"/>
        <v>-0.007201646091</v>
      </c>
    </row>
    <row r="229">
      <c r="A229" s="155">
        <v>43876.0</v>
      </c>
      <c r="B229" s="148">
        <f>IFERROR(__xludf.DUMMYFUNCTION("INDEX(GOOGLEFINANCE('Income Statement'!$D$1,""price"",EDATE(TODAY(),-67)),2,2)"),77.76)</f>
        <v>77.76</v>
      </c>
      <c r="C229" s="149">
        <f t="shared" si="1"/>
        <v>0.06316652994</v>
      </c>
    </row>
    <row r="230">
      <c r="A230" s="155">
        <v>43846.0</v>
      </c>
      <c r="B230" s="148">
        <f>IFERROR(__xludf.DUMMYFUNCTION("INDEX(GOOGLEFINANCE('Income Statement'!$D$1,""price"",EDATE(TODAY(),-68)),2,2)"),73.14)</f>
        <v>73.14</v>
      </c>
      <c r="C230" s="146" t="s">
        <v>19</v>
      </c>
    </row>
    <row r="231">
      <c r="A231" s="155"/>
      <c r="B231" s="148"/>
      <c r="C231" s="149"/>
    </row>
    <row r="232">
      <c r="A232" s="155"/>
      <c r="B232" s="148"/>
      <c r="C232" s="146"/>
    </row>
    <row r="234">
      <c r="A234" s="146" t="s">
        <v>109</v>
      </c>
      <c r="B234" s="146" t="s">
        <v>107</v>
      </c>
      <c r="C234" s="146" t="s">
        <v>108</v>
      </c>
    </row>
    <row r="235">
      <c r="A235" s="147">
        <v>45901.0</v>
      </c>
      <c r="B235" s="148">
        <f>IFERROR(__xludf.DUMMYFUNCTION("GOOGLEFINANCE("".inx"")"),7483.23)</f>
        <v>7483.23</v>
      </c>
      <c r="C235" s="149">
        <f t="shared" ref="C235:C302" si="2">B235/B236-1</f>
        <v>-0.01535929136</v>
      </c>
    </row>
    <row r="236">
      <c r="A236" s="147">
        <v>45870.0</v>
      </c>
      <c r="B236" s="148">
        <f>IFERROR(__xludf.DUMMYFUNCTION("INDEX(GOOGLEFINANCE("".inx"",""price"",EDATE(TODAY(),-1)),2,2)"),7599.96)</f>
        <v>7599.96</v>
      </c>
      <c r="C236" s="149">
        <f t="shared" si="2"/>
        <v>0.05115267796</v>
      </c>
    </row>
    <row r="237">
      <c r="A237" s="147">
        <v>45839.0</v>
      </c>
      <c r="B237" s="148">
        <f>IFERROR(__xludf.DUMMYFUNCTION("INDEX(GOOGLEFINANCE("".inx"",""price"",EDATE(TODAY(),-2)),2,2)"),7230.12)</f>
        <v>7230.12</v>
      </c>
      <c r="C237" s="149">
        <f t="shared" si="2"/>
        <v>0.09958450691</v>
      </c>
    </row>
    <row r="238">
      <c r="A238" s="147">
        <v>45809.0</v>
      </c>
      <c r="B238" s="148">
        <f>IFERROR(__xludf.DUMMYFUNCTION("INDEX(GOOGLEFINANCE("".inx"",""price"",EDATE(TODAY(),-3)),2,2)"),6575.32)</f>
        <v>6575.32</v>
      </c>
      <c r="C238" s="149">
        <f t="shared" si="2"/>
        <v>-0.04450986832</v>
      </c>
    </row>
    <row r="239">
      <c r="A239" s="147">
        <v>45778.0</v>
      </c>
      <c r="B239" s="148">
        <f>IFERROR(__xludf.DUMMYFUNCTION("INDEX(GOOGLEFINANCE("".inx"",""price"",EDATE(TODAY(),-4)),2,2)"),6881.62)</f>
        <v>6881.62</v>
      </c>
      <c r="C239" s="149">
        <f t="shared" si="2"/>
        <v>-0.01359145925</v>
      </c>
    </row>
    <row r="240">
      <c r="A240" s="147">
        <v>45748.0</v>
      </c>
      <c r="B240" s="148">
        <f>IFERROR(__xludf.DUMMYFUNCTION("INDEX(GOOGLEFINANCE("".inx"",""price"",EDATE(TODAY(),-5)),2,2)"),6976.44)</f>
        <v>6976.44</v>
      </c>
      <c r="C240" s="149">
        <f t="shared" si="2"/>
        <v>0.01720062929</v>
      </c>
    </row>
    <row r="241">
      <c r="A241" s="147">
        <v>45717.0</v>
      </c>
      <c r="B241" s="148">
        <f>IFERROR(__xludf.DUMMYFUNCTION("INDEX(GOOGLEFINANCE("".inx"",""price"",EDATE(TODAY(),-6)),2,2)"),6858.47)</f>
        <v>6858.47</v>
      </c>
      <c r="C241" s="149">
        <f t="shared" si="2"/>
        <v>0.006728678939</v>
      </c>
    </row>
    <row r="242">
      <c r="A242" s="147">
        <v>45689.0</v>
      </c>
      <c r="B242" s="148">
        <f>IFERROR(__xludf.DUMMYFUNCTION("INDEX(GOOGLEFINANCE("".inx"",""price"",EDATE(TODAY(),-7)),2,2)"),6812.63)</f>
        <v>6812.63</v>
      </c>
      <c r="C242" s="149">
        <f t="shared" si="2"/>
        <v>-0.005741414513</v>
      </c>
    </row>
    <row r="243">
      <c r="A243" s="147">
        <v>45658.0</v>
      </c>
      <c r="B243" s="148">
        <f>IFERROR(__xludf.DUMMYFUNCTION("INDEX(GOOGLEFINANCE("".inx"",""price"",EDATE(TODAY(),-8)),2,2)"),6851.97)</f>
        <v>6851.97</v>
      </c>
      <c r="C243" s="149">
        <f t="shared" si="2"/>
        <v>0.02097538443</v>
      </c>
    </row>
    <row r="244">
      <c r="A244" s="153">
        <v>45627.0</v>
      </c>
      <c r="B244" s="148">
        <f>IFERROR(__xludf.DUMMYFUNCTION("INDEX(GOOGLEFINANCE("".inx"",""price"",EDATE(TODAY(),-9)),2,2)"),6711.2)</f>
        <v>6711.2</v>
      </c>
      <c r="C244" s="149">
        <f t="shared" si="2"/>
        <v>0.04608497492</v>
      </c>
    </row>
    <row r="245">
      <c r="A245" s="153">
        <v>45597.0</v>
      </c>
      <c r="B245" s="148">
        <f>IFERROR(__xludf.DUMMYFUNCTION("INDEX(GOOGLEFINANCE("".inx"",""price"",EDATE(TODAY(),-10)),2,2)"),6415.54)</f>
        <v>6415.54</v>
      </c>
      <c r="C245" s="149">
        <f t="shared" si="2"/>
        <v>0.02845939651</v>
      </c>
    </row>
    <row r="246">
      <c r="A246" s="153">
        <v>45566.0</v>
      </c>
      <c r="B246" s="148">
        <f>IFERROR(__xludf.DUMMYFUNCTION("INDEX(GOOGLEFINANCE("".inx"",""price"",EDATE(TODAY(),-11)),2,2)"),6238.01)</f>
        <v>6238.01</v>
      </c>
      <c r="C246" s="149">
        <f t="shared" si="2"/>
        <v>0.006453684328</v>
      </c>
    </row>
    <row r="247">
      <c r="A247" s="147">
        <v>45536.0</v>
      </c>
      <c r="B247" s="148">
        <f>IFERROR(__xludf.DUMMYFUNCTION("INDEX(GOOGLEFINANCE("".inx"",""price"",EDATE(TODAY(),-12)),2,2)"),6198.01)</f>
        <v>6198.01</v>
      </c>
      <c r="C247" s="149">
        <f t="shared" si="2"/>
        <v>0.04414970502</v>
      </c>
    </row>
    <row r="248">
      <c r="A248" s="147">
        <v>45505.0</v>
      </c>
      <c r="B248" s="148">
        <f>IFERROR(__xludf.DUMMYFUNCTION("INDEX(GOOGLEFINANCE("".inx"",""price"",EDATE(TODAY(),-13)),2,2)"),5935.94)</f>
        <v>5935.94</v>
      </c>
      <c r="C248" s="149">
        <f t="shared" si="2"/>
        <v>0.05920622968</v>
      </c>
    </row>
    <row r="249">
      <c r="A249" s="147">
        <v>45474.0</v>
      </c>
      <c r="B249" s="148">
        <f>IFERROR(__xludf.DUMMYFUNCTION("INDEX(GOOGLEFINANCE("".inx"",""price"",EDATE(TODAY(),-14)),2,2)"),5604.14)</f>
        <v>5604.14</v>
      </c>
      <c r="C249" s="149">
        <f t="shared" si="2"/>
        <v>-0.005135743032</v>
      </c>
    </row>
    <row r="250">
      <c r="A250" s="147">
        <v>45444.0</v>
      </c>
      <c r="B250" s="148">
        <f>IFERROR(__xludf.DUMMYFUNCTION("INDEX(GOOGLEFINANCE("".inx"",""price"",EDATE(TODAY(),-15)),2,2)"),5633.07)</f>
        <v>5633.07</v>
      </c>
      <c r="C250" s="149">
        <f t="shared" si="2"/>
        <v>-0.0370359607</v>
      </c>
    </row>
    <row r="251">
      <c r="A251" s="147">
        <v>45413.0</v>
      </c>
      <c r="B251" s="148">
        <f>IFERROR(__xludf.DUMMYFUNCTION("INDEX(GOOGLEFINANCE("".inx"",""price"",EDATE(TODAY(),-16)),2,2)"),5849.72)</f>
        <v>5849.72</v>
      </c>
      <c r="C251" s="149">
        <f t="shared" si="2"/>
        <v>-0.02416353467</v>
      </c>
    </row>
    <row r="252">
      <c r="A252" s="147">
        <v>45383.0</v>
      </c>
      <c r="B252" s="148">
        <f>IFERROR(__xludf.DUMMYFUNCTION("INDEX(GOOGLEFINANCE("".inx"",""price"",EDATE(TODAY(),-17)),2,2)"),5994.57)</f>
        <v>5994.57</v>
      </c>
      <c r="C252" s="149">
        <f t="shared" si="2"/>
        <v>0.02147378824</v>
      </c>
    </row>
    <row r="253">
      <c r="A253" s="147">
        <v>45352.0</v>
      </c>
      <c r="B253" s="148">
        <f>IFERROR(__xludf.DUMMYFUNCTION("INDEX(GOOGLEFINANCE("".inx"",""price"",EDATE(TODAY(),-18)),2,2)"),5868.55)</f>
        <v>5868.55</v>
      </c>
      <c r="C253" s="149">
        <f t="shared" si="2"/>
        <v>-0.02953457414</v>
      </c>
    </row>
    <row r="254">
      <c r="A254" s="154">
        <v>45323.0</v>
      </c>
      <c r="B254" s="148">
        <f>IFERROR(__xludf.DUMMYFUNCTION("INDEX(GOOGLEFINANCE("".inx"",""price"",EDATE(TODAY(),-19)),2,2)"),6047.15)</f>
        <v>6047.15</v>
      </c>
      <c r="C254" s="149">
        <f t="shared" si="2"/>
        <v>0.05557010194</v>
      </c>
    </row>
    <row r="255">
      <c r="A255" s="155">
        <v>45292.0</v>
      </c>
      <c r="B255" s="148">
        <f>IFERROR(__xludf.DUMMYFUNCTION("INDEX(GOOGLEFINANCE("".inx"",""price"",EDATE(TODAY(),-20)),2,2)"),5728.8)</f>
        <v>5728.8</v>
      </c>
      <c r="C255" s="149">
        <f t="shared" si="2"/>
        <v>0.003512152398</v>
      </c>
    </row>
    <row r="256">
      <c r="A256" s="155">
        <v>45261.0</v>
      </c>
      <c r="B256" s="148">
        <f>IFERROR(__xludf.DUMMYFUNCTION("INDEX(GOOGLEFINANCE("".inx"",""price"",EDATE(TODAY(),-21)),2,2)"),5708.75)</f>
        <v>5708.75</v>
      </c>
      <c r="C256" s="149">
        <f t="shared" si="2"/>
        <v>0.03252347199</v>
      </c>
    </row>
    <row r="257">
      <c r="A257" s="155">
        <v>45232.0</v>
      </c>
      <c r="B257" s="148">
        <f>IFERROR(__xludf.DUMMYFUNCTION("INDEX(GOOGLEFINANCE("".inx"",""price"",EDATE(TODAY(),-22)),2,2)"),5528.93)</f>
        <v>5528.93</v>
      </c>
      <c r="C257" s="149">
        <f t="shared" si="2"/>
        <v>0.01510094223</v>
      </c>
    </row>
    <row r="258">
      <c r="A258" s="155">
        <v>45202.0</v>
      </c>
      <c r="B258" s="148">
        <f>IFERROR(__xludf.DUMMYFUNCTION("INDEX(GOOGLEFINANCE("".inx"",""price"",EDATE(TODAY(),-23)),2,2)"),5446.68)</f>
        <v>5446.68</v>
      </c>
      <c r="C258" s="149">
        <f t="shared" si="2"/>
        <v>-0.005188955798</v>
      </c>
    </row>
    <row r="259">
      <c r="A259" s="155">
        <v>45173.0</v>
      </c>
      <c r="B259" s="148">
        <f>IFERROR(__xludf.DUMMYFUNCTION("INDEX(GOOGLEFINANCE("".inx"",""price"",EDATE(TODAY(),-24)),2,2)"),5475.09)</f>
        <v>5475.09</v>
      </c>
      <c r="C259" s="149">
        <f t="shared" si="2"/>
        <v>0.03628156112</v>
      </c>
    </row>
    <row r="260">
      <c r="A260" s="155">
        <v>45143.0</v>
      </c>
      <c r="B260" s="148">
        <f>IFERROR(__xludf.DUMMYFUNCTION("INDEX(GOOGLEFINANCE("".inx"",""price"",EDATE(TODAY(),-25)),2,2)"),5283.4)</f>
        <v>5283.4</v>
      </c>
      <c r="C260" s="149">
        <f t="shared" si="2"/>
        <v>0.05280777301</v>
      </c>
    </row>
    <row r="261">
      <c r="A261" s="155">
        <v>45113.0</v>
      </c>
      <c r="B261" s="148">
        <f>IFERROR(__xludf.DUMMYFUNCTION("INDEX(GOOGLEFINANCE("".inx"",""price"",EDATE(TODAY(),-26)),2,2)"),5018.39)</f>
        <v>5018.39</v>
      </c>
      <c r="C261" s="149">
        <f t="shared" si="2"/>
        <v>-0.04298052737</v>
      </c>
    </row>
    <row r="262">
      <c r="A262" s="155">
        <v>45084.0</v>
      </c>
      <c r="B262" s="148">
        <f>IFERROR(__xludf.DUMMYFUNCTION("INDEX(GOOGLEFINANCE("".inx"",""price"",EDATE(TODAY(),-27)),2,2)"),5243.77)</f>
        <v>5243.77</v>
      </c>
      <c r="C262" s="149">
        <f t="shared" si="2"/>
        <v>0.02076860785</v>
      </c>
    </row>
    <row r="263">
      <c r="A263" s="155">
        <v>45054.0</v>
      </c>
      <c r="B263" s="148">
        <f>IFERROR(__xludf.DUMMYFUNCTION("INDEX(GOOGLEFINANCE("".inx"",""price"",EDATE(TODAY(),-28)),2,2)"),5137.08)</f>
        <v>5137.08</v>
      </c>
      <c r="C263" s="149">
        <f t="shared" si="2"/>
        <v>0.04706095769</v>
      </c>
    </row>
    <row r="264">
      <c r="A264" s="155">
        <v>45025.0</v>
      </c>
      <c r="B264" s="148">
        <f>IFERROR(__xludf.DUMMYFUNCTION("INDEX(GOOGLEFINANCE("".inx"",""price"",EDATE(TODAY(),-29)),2,2)"),4906.19)</f>
        <v>4906.19</v>
      </c>
      <c r="C264" s="149">
        <f t="shared" si="2"/>
        <v>0.03444357061</v>
      </c>
    </row>
    <row r="265">
      <c r="A265" s="155">
        <v>44995.0</v>
      </c>
      <c r="B265" s="148">
        <f>IFERROR(__xludf.DUMMYFUNCTION("INDEX(GOOGLEFINANCE("".inx"",""price"",EDATE(TODAY(),-30)),2,2)"),4742.83)</f>
        <v>4742.83</v>
      </c>
      <c r="C265" s="149">
        <f t="shared" si="2"/>
        <v>0.03225504556</v>
      </c>
    </row>
    <row r="266">
      <c r="A266" s="155">
        <v>44968.0</v>
      </c>
      <c r="B266" s="148">
        <f>IFERROR(__xludf.DUMMYFUNCTION("INDEX(GOOGLEFINANCE("".inx"",""price"",EDATE(TODAY(),-31)),2,2)"),4594.63)</f>
        <v>4594.63</v>
      </c>
      <c r="C266" s="149">
        <f t="shared" si="2"/>
        <v>0.08418635821</v>
      </c>
    </row>
    <row r="267">
      <c r="A267" s="155">
        <v>44938.0</v>
      </c>
      <c r="B267" s="148">
        <f>IFERROR(__xludf.DUMMYFUNCTION("INDEX(GOOGLEFINANCE("".inx"",""price"",EDATE(TODAY(),-32)),2,2)"),4237.86)</f>
        <v>4237.86</v>
      </c>
      <c r="C267" s="149">
        <f t="shared" si="2"/>
        <v>-0.01178297683</v>
      </c>
    </row>
    <row r="268">
      <c r="A268" s="155">
        <v>44908.0</v>
      </c>
      <c r="B268" s="148">
        <f>IFERROR(__xludf.DUMMYFUNCTION("INDEX(GOOGLEFINANCE("".inx"",""price"",EDATE(TODAY(),-33)),2,2)"),4288.39)</f>
        <v>4288.39</v>
      </c>
      <c r="C268" s="149">
        <f t="shared" si="2"/>
        <v>-0.05035243159</v>
      </c>
    </row>
    <row r="269">
      <c r="A269" s="155">
        <v>44878.0</v>
      </c>
      <c r="B269" s="148">
        <f>IFERROR(__xludf.DUMMYFUNCTION("INDEX(GOOGLEFINANCE("".inx"",""price"",EDATE(TODAY(),-34)),2,2)"),4515.77)</f>
        <v>4515.77</v>
      </c>
      <c r="C269" s="149">
        <f t="shared" si="2"/>
        <v>-0.01331955348</v>
      </c>
    </row>
    <row r="270">
      <c r="A270" s="155">
        <v>44847.0</v>
      </c>
      <c r="B270" s="148">
        <f>IFERROR(__xludf.DUMMYFUNCTION("INDEX(GOOGLEFINANCE("".inx"",""price"",EDATE(TODAY(),-35)),2,2)"),4576.73)</f>
        <v>4576.73</v>
      </c>
      <c r="C270" s="149">
        <f t="shared" si="2"/>
        <v>0.02718831849</v>
      </c>
    </row>
    <row r="271">
      <c r="A271" s="155">
        <v>44818.0</v>
      </c>
      <c r="B271" s="148">
        <f>IFERROR(__xludf.DUMMYFUNCTION("INDEX(GOOGLEFINANCE("".inx"",""price"",EDATE(TODAY(),-36)),2,2)"),4455.59)</f>
        <v>4455.59</v>
      </c>
      <c r="C271" s="149">
        <f t="shared" si="2"/>
        <v>0.05557187599</v>
      </c>
    </row>
    <row r="272">
      <c r="A272" s="156">
        <v>44774.0</v>
      </c>
      <c r="B272" s="148">
        <f>IFERROR(__xludf.DUMMYFUNCTION("INDEX(GOOGLEFINANCE("".inx"",""price"",EDATE(TODAY(),-37)),2,2)"),4221.02)</f>
        <v>4221.02</v>
      </c>
      <c r="C272" s="149">
        <f t="shared" si="2"/>
        <v>0.01275231713</v>
      </c>
    </row>
    <row r="273">
      <c r="A273" s="155">
        <v>44758.0</v>
      </c>
      <c r="B273" s="148">
        <f>IFERROR(__xludf.DUMMYFUNCTION("INDEX(GOOGLEFINANCE("".inx"",""price"",EDATE(TODAY(),-38)),2,2)"),4167.87)</f>
        <v>4167.87</v>
      </c>
      <c r="C273" s="149">
        <f t="shared" si="2"/>
        <v>0.01051276394</v>
      </c>
    </row>
    <row r="274">
      <c r="A274" s="155">
        <v>44729.0</v>
      </c>
      <c r="B274" s="148">
        <f>IFERROR(__xludf.DUMMYFUNCTION("INDEX(GOOGLEFINANCE("".inx"",""price"",EDATE(TODAY(),-39)),2,2)"),4124.51)</f>
        <v>4124.51</v>
      </c>
      <c r="C274" s="149">
        <f t="shared" si="2"/>
        <v>0.04381243056</v>
      </c>
    </row>
    <row r="275">
      <c r="A275" s="155">
        <v>44699.0</v>
      </c>
      <c r="B275" s="148">
        <f>IFERROR(__xludf.DUMMYFUNCTION("INDEX(GOOGLEFINANCE("".inx"",""price"",EDATE(TODAY(),-40)),2,2)"),3951.39)</f>
        <v>3951.39</v>
      </c>
      <c r="C275" s="149">
        <f t="shared" si="2"/>
        <v>-0.04074082166</v>
      </c>
    </row>
    <row r="276">
      <c r="A276" s="155">
        <v>44670.0</v>
      </c>
      <c r="B276" s="148">
        <f>IFERROR(__xludf.DUMMYFUNCTION("INDEX(GOOGLEFINANCE("".inx"",""price"",EDATE(TODAY(),-41)),2,2)"),4119.21)</f>
        <v>4119.21</v>
      </c>
      <c r="C276" s="149">
        <f t="shared" si="2"/>
        <v>0.07715983201</v>
      </c>
    </row>
    <row r="277">
      <c r="A277" s="155">
        <v>44640.0</v>
      </c>
      <c r="B277" s="148">
        <f>IFERROR(__xludf.DUMMYFUNCTION("INDEX(GOOGLEFINANCE("".inx"",""price"",EDATE(TODAY(),-42)),2,2)"),3824.14)</f>
        <v>3824.14</v>
      </c>
      <c r="C277" s="149">
        <f t="shared" si="2"/>
        <v>-0.06192215515</v>
      </c>
    </row>
    <row r="278">
      <c r="A278" s="155">
        <v>44613.0</v>
      </c>
      <c r="B278" s="148">
        <f>IFERROR(__xludf.DUMMYFUNCTION("INDEX(GOOGLEFINANCE("".inx"",""price"",EDATE(TODAY(),-43)),2,2)"),4076.57)</f>
        <v>4076.57</v>
      </c>
      <c r="C278" s="149">
        <f t="shared" si="2"/>
        <v>0.05717434714</v>
      </c>
    </row>
    <row r="279">
      <c r="A279" s="155">
        <v>44583.0</v>
      </c>
      <c r="B279" s="148">
        <f>IFERROR(__xludf.DUMMYFUNCTION("INDEX(GOOGLEFINANCE("".inx"",""price"",EDATE(TODAY(),-44)),2,2)"),3856.1)</f>
        <v>3856.1</v>
      </c>
      <c r="C279" s="149">
        <f t="shared" si="2"/>
        <v>0.04830049777</v>
      </c>
    </row>
    <row r="280">
      <c r="A280" s="155">
        <v>44553.0</v>
      </c>
      <c r="B280" s="148">
        <f>IFERROR(__xludf.DUMMYFUNCTION("INDEX(GOOGLEFINANCE("".inx"",""price"",EDATE(TODAY(),-45)),2,2)"),3678.43)</f>
        <v>3678.43</v>
      </c>
      <c r="C280" s="149">
        <f t="shared" si="2"/>
        <v>-0.07270756394</v>
      </c>
    </row>
    <row r="281">
      <c r="A281" s="155">
        <v>44524.0</v>
      </c>
      <c r="B281" s="148">
        <f>IFERROR(__xludf.DUMMYFUNCTION("INDEX(GOOGLEFINANCE("".inx"",""price"",EDATE(TODAY(),-46)),2,2)"),3966.85)</f>
        <v>3966.85</v>
      </c>
      <c r="C281" s="149">
        <f t="shared" si="2"/>
        <v>-0.03685206003</v>
      </c>
    </row>
    <row r="282">
      <c r="A282" s="155">
        <v>44494.0</v>
      </c>
      <c r="B282" s="148">
        <f>IFERROR(__xludf.DUMMYFUNCTION("INDEX(GOOGLEFINANCE("".inx"",""price"",EDATE(TODAY(),-47)),2,2)"),4118.63)</f>
        <v>4118.63</v>
      </c>
      <c r="C282" s="149">
        <f t="shared" si="2"/>
        <v>0.07667312363</v>
      </c>
    </row>
    <row r="283">
      <c r="A283" s="155">
        <v>44465.0</v>
      </c>
      <c r="B283" s="148">
        <f>IFERROR(__xludf.DUMMYFUNCTION("INDEX(GOOGLEFINANCE("".inx"",""price"",EDATE(TODAY(),-48)),2,2)"),3825.33)</f>
        <v>3825.33</v>
      </c>
      <c r="C283" s="149">
        <f t="shared" si="2"/>
        <v>-0.06727250118</v>
      </c>
    </row>
    <row r="284">
      <c r="A284" s="155">
        <v>44435.0</v>
      </c>
      <c r="B284" s="148">
        <f>IFERROR(__xludf.DUMMYFUNCTION("INDEX(GOOGLEFINANCE("".inx"",""price"",EDATE(TODAY(),-49)),2,2)"),4101.23)</f>
        <v>4101.23</v>
      </c>
      <c r="C284" s="149">
        <f t="shared" si="2"/>
        <v>-0.01303129918</v>
      </c>
    </row>
    <row r="285">
      <c r="A285" s="155">
        <v>44405.0</v>
      </c>
      <c r="B285" s="148">
        <f>IFERROR(__xludf.DUMMYFUNCTION("INDEX(GOOGLEFINANCE("".inx"",""price"",EDATE(TODAY(),-50)),2,2)"),4155.38)</f>
        <v>4155.38</v>
      </c>
      <c r="C285" s="149">
        <f t="shared" si="2"/>
        <v>-0.0858979379</v>
      </c>
    </row>
    <row r="286">
      <c r="A286" s="155">
        <v>44376.0</v>
      </c>
      <c r="B286" s="148">
        <f>IFERROR(__xludf.DUMMYFUNCTION("INDEX(GOOGLEFINANCE("".inx"",""price"",EDATE(TODAY(),-51)),2,2)"),4545.86)</f>
        <v>4545.86</v>
      </c>
      <c r="C286" s="149">
        <f t="shared" si="2"/>
        <v>0.05563992885</v>
      </c>
    </row>
    <row r="287">
      <c r="A287" s="155">
        <v>44346.0</v>
      </c>
      <c r="B287" s="148">
        <f>IFERROR(__xludf.DUMMYFUNCTION("INDEX(GOOGLEFINANCE("".inx"",""price"",EDATE(TODAY(),-52)),2,2)"),4306.26)</f>
        <v>4306.26</v>
      </c>
      <c r="C287" s="149">
        <f t="shared" si="2"/>
        <v>-0.05284897966</v>
      </c>
    </row>
    <row r="288">
      <c r="A288" s="155">
        <v>44287.0</v>
      </c>
      <c r="B288" s="148">
        <f>IFERROR(__xludf.DUMMYFUNCTION("INDEX(GOOGLEFINANCE("".inx"",""price"",EDATE(TODAY(),-53)),2,2)"),4546.54)</f>
        <v>4546.54</v>
      </c>
      <c r="C288" s="149">
        <f t="shared" si="2"/>
        <v>-0.05212485615</v>
      </c>
    </row>
    <row r="289">
      <c r="A289" s="155">
        <v>44257.0</v>
      </c>
      <c r="B289" s="148">
        <f>IFERROR(__xludf.DUMMYFUNCTION("INDEX(GOOGLEFINANCE("".inx"",""price"",EDATE(TODAY(),-54)),2,2)"),4796.56)</f>
        <v>4796.56</v>
      </c>
      <c r="C289" s="149">
        <f t="shared" si="2"/>
        <v>0.06282239909</v>
      </c>
    </row>
    <row r="290">
      <c r="A290" s="155">
        <v>44230.0</v>
      </c>
      <c r="B290" s="148">
        <f>IFERROR(__xludf.DUMMYFUNCTION("INDEX(GOOGLEFINANCE("".inx"",""price"",EDATE(TODAY(),-55)),2,2)"),4513.04)</f>
        <v>4513.04</v>
      </c>
      <c r="C290" s="149">
        <f t="shared" si="2"/>
        <v>-0.02181126955</v>
      </c>
    </row>
    <row r="291">
      <c r="A291" s="155">
        <v>44200.0</v>
      </c>
      <c r="B291" s="148">
        <f>IFERROR(__xludf.DUMMYFUNCTION("INDEX(GOOGLEFINANCE("".inx"",""price"",EDATE(TODAY(),-56)),2,2)"),4613.67)</f>
        <v>4613.67</v>
      </c>
      <c r="C291" s="149">
        <f t="shared" si="2"/>
        <v>0.05890007895</v>
      </c>
    </row>
    <row r="292">
      <c r="A292" s="155">
        <v>44170.0</v>
      </c>
      <c r="B292" s="148">
        <f>IFERROR(__xludf.DUMMYFUNCTION("INDEX(GOOGLEFINANCE("".inx"",""price"",EDATE(TODAY(),-57)),2,2)"),4357.04)</f>
        <v>4357.04</v>
      </c>
      <c r="C292" s="149">
        <f t="shared" si="2"/>
        <v>-0.03692455278</v>
      </c>
    </row>
    <row r="293">
      <c r="A293" s="155">
        <v>44141.0</v>
      </c>
      <c r="B293" s="148">
        <f>IFERROR(__xludf.DUMMYFUNCTION("INDEX(GOOGLEFINANCE("".inx"",""price"",EDATE(TODAY(),-58)),2,2)"),4524.09)</f>
        <v>4524.09</v>
      </c>
      <c r="C293" s="149">
        <f t="shared" si="2"/>
        <v>0.03121153548</v>
      </c>
    </row>
    <row r="294">
      <c r="A294" s="155">
        <v>44111.0</v>
      </c>
      <c r="B294" s="148">
        <f>IFERROR(__xludf.DUMMYFUNCTION("INDEX(GOOGLEFINANCE("".inx"",""price"",EDATE(TODAY(),-59)),2,2)"),4387.16)</f>
        <v>4387.16</v>
      </c>
      <c r="C294" s="149">
        <f t="shared" si="2"/>
        <v>0.0155604013</v>
      </c>
    </row>
    <row r="295">
      <c r="A295" s="155">
        <v>44082.0</v>
      </c>
      <c r="B295" s="148">
        <f>IFERROR(__xludf.DUMMYFUNCTION("INDEX(GOOGLEFINANCE("".inx"",""price"",EDATE(TODAY(),-60)),2,2)"),4319.94)</f>
        <v>4319.94</v>
      </c>
      <c r="C295" s="149">
        <f t="shared" si="2"/>
        <v>0.0280578005</v>
      </c>
    </row>
    <row r="296">
      <c r="A296" s="155">
        <v>44052.0</v>
      </c>
      <c r="B296" s="148">
        <f>IFERROR(__xludf.DUMMYFUNCTION("INDEX(GOOGLEFINANCE("".inx"",""price"",EDATE(TODAY(),-61)),2,2)"),4202.04)</f>
        <v>4202.04</v>
      </c>
      <c r="C296" s="149">
        <f t="shared" si="2"/>
        <v>0.002237243182</v>
      </c>
    </row>
    <row r="297">
      <c r="A297" s="155">
        <v>44022.0</v>
      </c>
      <c r="B297" s="148">
        <f>IFERROR(__xludf.DUMMYFUNCTION("INDEX(GOOGLEFINANCE("".inx"",""price"",EDATE(TODAY(),-62)),2,2)"),4192.66)</f>
        <v>4192.66</v>
      </c>
      <c r="C297" s="149">
        <f t="shared" si="2"/>
        <v>0.04298397709</v>
      </c>
    </row>
    <row r="298">
      <c r="A298" s="155">
        <v>43993.0</v>
      </c>
      <c r="B298" s="148">
        <f>IFERROR(__xludf.DUMMYFUNCTION("INDEX(GOOGLEFINANCE("".inx"",""price"",EDATE(TODAY(),-63)),2,2)"),4019.87)</f>
        <v>4019.87</v>
      </c>
      <c r="C298" s="149">
        <f t="shared" si="2"/>
        <v>0.03025511172</v>
      </c>
    </row>
    <row r="299">
      <c r="A299" s="155">
        <v>43963.0</v>
      </c>
      <c r="B299" s="148">
        <f>IFERROR(__xludf.DUMMYFUNCTION("INDEX(GOOGLEFINANCE("".inx"",""price"",EDATE(TODAY(),-64)),2,2)"),3901.82)</f>
        <v>3901.82</v>
      </c>
      <c r="C299" s="149">
        <f t="shared" si="2"/>
        <v>0.03390692818</v>
      </c>
    </row>
    <row r="300">
      <c r="A300" s="155">
        <v>43934.0</v>
      </c>
      <c r="B300" s="148">
        <f>IFERROR(__xludf.DUMMYFUNCTION("INDEX(GOOGLEFINANCE("".inx"",""price"",EDATE(TODAY(),-65)),2,2)"),3773.86)</f>
        <v>3773.86</v>
      </c>
      <c r="C300" s="149">
        <f t="shared" si="2"/>
        <v>0.01978301109</v>
      </c>
    </row>
    <row r="301">
      <c r="A301" s="155">
        <v>43904.0</v>
      </c>
      <c r="B301" s="148">
        <f>IFERROR(__xludf.DUMMYFUNCTION("INDEX(GOOGLEFINANCE("".inx"",""price"",EDATE(TODAY(),-66)),2,2)"),3700.65)</f>
        <v>3700.65</v>
      </c>
      <c r="C301" s="149">
        <f t="shared" si="2"/>
        <v>0.01043017652</v>
      </c>
    </row>
    <row r="302">
      <c r="A302" s="155">
        <v>43876.0</v>
      </c>
      <c r="B302" s="148">
        <f>IFERROR(__xludf.DUMMYFUNCTION("INDEX(GOOGLEFINANCE("".inx"",""price"",EDATE(TODAY(),-67)),2,2)"),3662.45)</f>
        <v>3662.45</v>
      </c>
      <c r="C302" s="149">
        <f t="shared" si="2"/>
        <v>0.1064001402</v>
      </c>
    </row>
    <row r="303">
      <c r="A303" s="155">
        <v>43846.0</v>
      </c>
      <c r="B303" s="148">
        <f>IFERROR(__xludf.DUMMYFUNCTION("INDEX(GOOGLEFINANCE("".inx"",""price"",EDATE(TODAY(),-68)),2,2)"),3310.24)</f>
        <v>3310.24</v>
      </c>
      <c r="C303" s="21" t="s">
        <v>19</v>
      </c>
    </row>
    <row r="311">
      <c r="A311" s="73" t="str">
        <f>IFERROR(__xludf.DUMMYFUNCTION("IMPORTHTML(CONCAT(CONCAT(""https://valueinvesting.io/"",'Income Statement'!D1),""/valuation/wacc""),""table"",2)
"),"Category")</f>
        <v>Category</v>
      </c>
      <c r="B311" s="73" t="str">
        <f>IFERROR(__xludf.DUMMYFUNCTION("""COMPUTED_VALUE"""),"Low")</f>
        <v>Low</v>
      </c>
      <c r="C311" s="73" t="str">
        <f>IFERROR(__xludf.DUMMYFUNCTION("""COMPUTED_VALUE"""),"High")</f>
        <v>High</v>
      </c>
      <c r="D311" s="21" t="s">
        <v>110</v>
      </c>
    </row>
    <row r="312">
      <c r="A312" s="73"/>
      <c r="B312" s="73"/>
      <c r="C312" s="73"/>
    </row>
    <row r="313">
      <c r="A313" s="73" t="str">
        <f>IFERROR(__xludf.DUMMYFUNCTION("""COMPUTED_VALUE"""),"Long-term bond rate")</f>
        <v>Long-term bond rate</v>
      </c>
      <c r="B313" s="72">
        <f>IFERROR(__xludf.DUMMYFUNCTION("""COMPUTED_VALUE"""),0.039)</f>
        <v>0.039</v>
      </c>
      <c r="C313" s="72">
        <f>IFERROR(__xludf.DUMMYFUNCTION("""COMPUTED_VALUE"""),0.044)</f>
        <v>0.044</v>
      </c>
      <c r="D313" s="72">
        <f t="shared" ref="D313:D315" si="3">AVERAGE(B313:C313)</f>
        <v>0.0415</v>
      </c>
    </row>
    <row r="314">
      <c r="A314" s="73" t="str">
        <f>IFERROR(__xludf.DUMMYFUNCTION("""COMPUTED_VALUE"""),"Equity market risk premium")</f>
        <v>Equity market risk premium</v>
      </c>
      <c r="B314" s="72">
        <f>IFERROR(__xludf.DUMMYFUNCTION("""COMPUTED_VALUE"""),0.046)</f>
        <v>0.046</v>
      </c>
      <c r="C314" s="72">
        <f>IFERROR(__xludf.DUMMYFUNCTION("""COMPUTED_VALUE"""),0.056)</f>
        <v>0.056</v>
      </c>
      <c r="D314" s="72">
        <f t="shared" si="3"/>
        <v>0.051</v>
      </c>
    </row>
    <row r="315">
      <c r="A315" s="73" t="str">
        <f>IFERROR(__xludf.DUMMYFUNCTION("""COMPUTED_VALUE"""),"Adjusted beta")</f>
        <v>Adjusted beta</v>
      </c>
      <c r="B315" s="73">
        <f>IFERROR(__xludf.DUMMYFUNCTION("""COMPUTED_VALUE"""),0.55)</f>
        <v>0.55</v>
      </c>
      <c r="C315" s="73">
        <f>IFERROR(__xludf.DUMMYFUNCTION("""COMPUTED_VALUE"""),0.62)</f>
        <v>0.62</v>
      </c>
      <c r="D315" s="73">
        <f t="shared" si="3"/>
        <v>0.585</v>
      </c>
    </row>
    <row r="316">
      <c r="A316" s="73"/>
      <c r="B316" s="73"/>
      <c r="C316" s="73"/>
    </row>
    <row r="317">
      <c r="A317" s="73" t="str">
        <f>IFERROR(__xludf.DUMMYFUNCTION("""COMPUTED_VALUE"""),"Additional risk adjustments")</f>
        <v>Additional risk adjustments</v>
      </c>
      <c r="B317" s="72">
        <f>IFERROR(__xludf.DUMMYFUNCTION("""COMPUTED_VALUE"""),0.0)</f>
        <v>0</v>
      </c>
      <c r="C317" s="72">
        <f>IFERROR(__xludf.DUMMYFUNCTION("""COMPUTED_VALUE"""),0.005)</f>
        <v>0.005</v>
      </c>
      <c r="D317" s="72">
        <f t="shared" ref="D317:D318" si="4">AVERAGE(B317:C317)</f>
        <v>0.0025</v>
      </c>
    </row>
    <row r="318">
      <c r="A318" s="73" t="str">
        <f>IFERROR(__xludf.DUMMYFUNCTION("""COMPUTED_VALUE"""),"Cost of equity")</f>
        <v>Cost of equity</v>
      </c>
      <c r="B318" s="72">
        <f>IFERROR(__xludf.DUMMYFUNCTION("""COMPUTED_VALUE"""),0.064)</f>
        <v>0.064</v>
      </c>
      <c r="C318" s="72">
        <f>IFERROR(__xludf.DUMMYFUNCTION("""COMPUTED_VALUE"""),0.083)</f>
        <v>0.083</v>
      </c>
      <c r="D318" s="72">
        <f t="shared" si="4"/>
        <v>0.0735</v>
      </c>
    </row>
    <row r="319">
      <c r="A319" s="73"/>
      <c r="B319" s="73"/>
      <c r="C319" s="73"/>
    </row>
    <row r="320">
      <c r="A320" s="73" t="str">
        <f>IFERROR(__xludf.DUMMYFUNCTION("""COMPUTED_VALUE"""),"Tax rate")</f>
        <v>Tax rate</v>
      </c>
      <c r="B320" s="72">
        <f>IFERROR(__xludf.DUMMYFUNCTION("""COMPUTED_VALUE"""),0.127)</f>
        <v>0.127</v>
      </c>
      <c r="C320" s="72">
        <f>IFERROR(__xludf.DUMMYFUNCTION("""COMPUTED_VALUE"""),0.136)</f>
        <v>0.136</v>
      </c>
      <c r="D320" s="72">
        <f t="shared" ref="D320:D322" si="5">AVERAGE(B320:C320)</f>
        <v>0.1315</v>
      </c>
    </row>
    <row r="321">
      <c r="A321" s="73" t="str">
        <f>IFERROR(__xludf.DUMMYFUNCTION("""COMPUTED_VALUE"""),"Debt/Equity ratio")</f>
        <v>Debt/Equity ratio</v>
      </c>
      <c r="B321" s="73">
        <f>IFERROR(__xludf.DUMMYFUNCTION("""COMPUTED_VALUE"""),0.16)</f>
        <v>0.16</v>
      </c>
      <c r="C321" s="73">
        <f>IFERROR(__xludf.DUMMYFUNCTION("""COMPUTED_VALUE"""),0.16)</f>
        <v>0.16</v>
      </c>
      <c r="D321" s="73">
        <f t="shared" si="5"/>
        <v>0.16</v>
      </c>
    </row>
    <row r="322">
      <c r="A322" s="73" t="str">
        <f>IFERROR(__xludf.DUMMYFUNCTION("""COMPUTED_VALUE"""),"Cost of debt")</f>
        <v>Cost of debt</v>
      </c>
      <c r="B322" s="72">
        <f>IFERROR(__xludf.DUMMYFUNCTION("""COMPUTED_VALUE"""),0.04)</f>
        <v>0.04</v>
      </c>
      <c r="C322" s="72">
        <f>IFERROR(__xludf.DUMMYFUNCTION("""COMPUTED_VALUE"""),0.046)</f>
        <v>0.046</v>
      </c>
      <c r="D322" s="72">
        <f t="shared" si="5"/>
        <v>0.043</v>
      </c>
    </row>
    <row r="323">
      <c r="A323" s="73"/>
      <c r="B323" s="73"/>
      <c r="C323" s="73"/>
    </row>
    <row r="324">
      <c r="A324" s="73" t="str">
        <f>IFERROR(__xludf.DUMMYFUNCTION("""COMPUTED_VALUE"""),"After-tax WACC")</f>
        <v>After-tax WACC</v>
      </c>
      <c r="B324" s="72">
        <f>IFERROR(__xludf.DUMMYFUNCTION("""COMPUTED_VALUE"""),0.06)</f>
        <v>0.06</v>
      </c>
      <c r="C324" s="72">
        <f>IFERROR(__xludf.DUMMYFUNCTION("""COMPUTED_VALUE"""),0.077)</f>
        <v>0.077</v>
      </c>
      <c r="D324" s="72">
        <f>AVERAGE(B324:C324)</f>
        <v>0.0685</v>
      </c>
    </row>
    <row r="325">
      <c r="A325" s="73"/>
      <c r="B325" s="73"/>
      <c r="C325" s="73"/>
    </row>
    <row r="326">
      <c r="A326" s="73"/>
      <c r="B326" s="73"/>
      <c r="C326" s="73"/>
    </row>
    <row r="327">
      <c r="A327" s="73" t="str">
        <f>IFERROR(__xludf.DUMMYFUNCTION("""COMPUTED_VALUE"""),"Selected WACC")</f>
        <v>Selected WACC</v>
      </c>
      <c r="B327" s="72">
        <f>IFERROR(__xludf.DUMMYFUNCTION("""COMPUTED_VALUE"""),0.069)</f>
        <v>0.069</v>
      </c>
      <c r="C327" s="73"/>
      <c r="D327" s="72">
        <f>AVERAGE(B327:C327)</f>
        <v>0.069</v>
      </c>
    </row>
    <row r="328">
      <c r="A328" s="73"/>
      <c r="B328" s="73"/>
      <c r="C328" s="73"/>
    </row>
    <row r="332">
      <c r="A332" s="73" t="str">
        <f>IFERROR(__xludf.DUMMYFUNCTION("IMPORTHTML(CONCAT(CONCAT(""https://www.marketwatch.com/investing/stock/"",'Income Statement'!D1),""/financials/balance-sheet""),""table"",5)
"),"Item
Item")</f>
        <v>Item
Item</v>
      </c>
      <c r="B332" s="73">
        <f>IFERROR(__xludf.DUMMYFUNCTION("""COMPUTED_VALUE"""),2021.0)</f>
        <v>2021</v>
      </c>
      <c r="C332" s="73">
        <f>IFERROR(__xludf.DUMMYFUNCTION("""COMPUTED_VALUE"""),2022.0)</f>
        <v>2022</v>
      </c>
      <c r="D332" s="73">
        <f>IFERROR(__xludf.DUMMYFUNCTION("""COMPUTED_VALUE"""),2023.0)</f>
        <v>2023</v>
      </c>
      <c r="E332" s="73">
        <f>IFERROR(__xludf.DUMMYFUNCTION("""COMPUTED_VALUE"""),2024.0)</f>
        <v>2024</v>
      </c>
      <c r="F332" s="73">
        <f>IFERROR(__xludf.DUMMYFUNCTION("""COMPUTED_VALUE"""),2025.0)</f>
        <v>2025</v>
      </c>
      <c r="G332" s="73" t="str">
        <f>IFERROR(__xludf.DUMMYFUNCTION("""COMPUTED_VALUE"""),"5-year trend")</f>
        <v>5-year trend</v>
      </c>
    </row>
    <row r="333">
      <c r="A333" s="73" t="str">
        <f>IFERROR(__xludf.DUMMYFUNCTION("""COMPUTED_VALUE"""),"ST Debt &amp; Current Portion LT Debt
ST Debt &amp; Current Portion LT Debt")</f>
        <v>ST Debt &amp; Current Portion LT Debt
ST Debt &amp; Current Portion LT Debt</v>
      </c>
      <c r="B333" s="73" t="str">
        <f>IFERROR(__xludf.DUMMYFUNCTION("""COMPUTED_VALUE"""),"2.72B")</f>
        <v>2.72B</v>
      </c>
      <c r="C333" s="73" t="str">
        <f>IFERROR(__xludf.DUMMYFUNCTION("""COMPUTED_VALUE"""),"2.23B")</f>
        <v>2.23B</v>
      </c>
      <c r="D333" s="73" t="str">
        <f>IFERROR(__xludf.DUMMYFUNCTION("""COMPUTED_VALUE"""),"1.66B")</f>
        <v>1.66B</v>
      </c>
      <c r="E333" s="73" t="str">
        <f>IFERROR(__xludf.DUMMYFUNCTION("""COMPUTED_VALUE"""),"2.93B")</f>
        <v>2.93B</v>
      </c>
      <c r="F333" s="73" t="str">
        <f>IFERROR(__xludf.DUMMYFUNCTION("""COMPUTED_VALUE"""),"2.88B")</f>
        <v>2.88B</v>
      </c>
      <c r="G333" s="73"/>
    </row>
    <row r="334">
      <c r="A334" s="73" t="str">
        <f>IFERROR(__xludf.DUMMYFUNCTION("""COMPUTED_VALUE"""),"Short Term Debt
Short Term Debt")</f>
        <v>Short Term Debt
Short Term Debt</v>
      </c>
      <c r="B334" s="73" t="str">
        <f>IFERROR(__xludf.DUMMYFUNCTION("""COMPUTED_VALUE"""),"2.72B")</f>
        <v>2.72B</v>
      </c>
      <c r="C334" s="73" t="str">
        <f>IFERROR(__xludf.DUMMYFUNCTION("""COMPUTED_VALUE"""),"2.23B")</f>
        <v>2.23B</v>
      </c>
      <c r="D334" s="73" t="str">
        <f>IFERROR(__xludf.DUMMYFUNCTION("""COMPUTED_VALUE"""),"1.66B")</f>
        <v>1.66B</v>
      </c>
      <c r="E334" s="73" t="str">
        <f>IFERROR(__xludf.DUMMYFUNCTION("""COMPUTED_VALUE"""),"2.93B")</f>
        <v>2.93B</v>
      </c>
      <c r="F334" s="73" t="str">
        <f>IFERROR(__xludf.DUMMYFUNCTION("""COMPUTED_VALUE"""),"2.88B")</f>
        <v>2.88B</v>
      </c>
      <c r="G334" s="73"/>
    </row>
    <row r="335">
      <c r="A335" s="73" t="str">
        <f>IFERROR(__xludf.DUMMYFUNCTION("""COMPUTED_VALUE"""),"Current Portion of Long Term Debt
Current Portion of Long Term Debt")</f>
        <v>Current Portion of Long Term Debt
Current Portion of Long Term Debt</v>
      </c>
      <c r="B335" s="73" t="str">
        <f>IFERROR(__xludf.DUMMYFUNCTION("""COMPUTED_VALUE"""),"-")</f>
        <v>-</v>
      </c>
      <c r="C335" s="73" t="str">
        <f>IFERROR(__xludf.DUMMYFUNCTION("""COMPUTED_VALUE"""),"-")</f>
        <v>-</v>
      </c>
      <c r="D335" s="73" t="str">
        <f>IFERROR(__xludf.DUMMYFUNCTION("""COMPUTED_VALUE"""),"-")</f>
        <v>-</v>
      </c>
      <c r="E335" s="73" t="str">
        <f>IFERROR(__xludf.DUMMYFUNCTION("""COMPUTED_VALUE"""),"-")</f>
        <v>-</v>
      </c>
      <c r="F335" s="73" t="str">
        <f>IFERROR(__xludf.DUMMYFUNCTION("""COMPUTED_VALUE"""),"-")</f>
        <v>-</v>
      </c>
      <c r="G335" s="73"/>
    </row>
    <row r="336">
      <c r="A336" s="73" t="str">
        <f>IFERROR(__xludf.DUMMYFUNCTION("""COMPUTED_VALUE"""),"Accounts Payable
Accounts Payable")</f>
        <v>Accounts Payable
Accounts Payable</v>
      </c>
      <c r="B336" s="73" t="str">
        <f>IFERROR(__xludf.DUMMYFUNCTION("""COMPUTED_VALUE"""),"4.61B")</f>
        <v>4.61B</v>
      </c>
      <c r="C336" s="73" t="str">
        <f>IFERROR(__xludf.DUMMYFUNCTION("""COMPUTED_VALUE"""),"4.26B")</f>
        <v>4.26B</v>
      </c>
      <c r="D336" s="73" t="str">
        <f>IFERROR(__xludf.DUMMYFUNCTION("""COMPUTED_VALUE"""),"3.92B")</f>
        <v>3.92B</v>
      </c>
      <c r="E336" s="73" t="str">
        <f>IFERROR(__xludf.DUMMYFUNCTION("""COMPUTED_VALUE"""),"4.08B")</f>
        <v>4.08B</v>
      </c>
      <c r="F336" s="73" t="str">
        <f>IFERROR(__xludf.DUMMYFUNCTION("""COMPUTED_VALUE"""),"4.4B")</f>
        <v>4.4B</v>
      </c>
      <c r="G336" s="73"/>
    </row>
    <row r="337">
      <c r="A337" s="73" t="str">
        <f>IFERROR(__xludf.DUMMYFUNCTION("""COMPUTED_VALUE"""),"Accounts Payable Growth
Accounts Payable Growth")</f>
        <v>Accounts Payable Growth
Accounts Payable Growth</v>
      </c>
      <c r="B337" s="73" t="str">
        <f>IFERROR(__xludf.DUMMYFUNCTION("""COMPUTED_VALUE"""),"-")</f>
        <v>-</v>
      </c>
      <c r="C337" s="72">
        <f>IFERROR(__xludf.DUMMYFUNCTION("""COMPUTED_VALUE"""),-0.0749)</f>
        <v>-0.0749</v>
      </c>
      <c r="D337" s="72">
        <f>IFERROR(__xludf.DUMMYFUNCTION("""COMPUTED_VALUE"""),-0.0802)</f>
        <v>-0.0802</v>
      </c>
      <c r="E337" s="72">
        <f>IFERROR(__xludf.DUMMYFUNCTION("""COMPUTED_VALUE"""),0.04)</f>
        <v>0.04</v>
      </c>
      <c r="F337" s="72">
        <f>IFERROR(__xludf.DUMMYFUNCTION("""COMPUTED_VALUE"""),0.0797)</f>
        <v>0.0797</v>
      </c>
      <c r="G337" s="73"/>
    </row>
    <row r="338">
      <c r="A338" s="73" t="str">
        <f>IFERROR(__xludf.DUMMYFUNCTION("""COMPUTED_VALUE"""),"Income Tax Payable
Income Tax Payable")</f>
        <v>Income Tax Payable
Income Tax Payable</v>
      </c>
      <c r="B338" s="73" t="str">
        <f>IFERROR(__xludf.DUMMYFUNCTION("""COMPUTED_VALUE"""),"1.22B")</f>
        <v>1.22B</v>
      </c>
      <c r="C338" s="73" t="str">
        <f>IFERROR(__xludf.DUMMYFUNCTION("""COMPUTED_VALUE"""),"1.99B")</f>
        <v>1.99B</v>
      </c>
      <c r="D338" s="73" t="str">
        <f>IFERROR(__xludf.DUMMYFUNCTION("""COMPUTED_VALUE"""),"2.65B")</f>
        <v>2.65B</v>
      </c>
      <c r="E338" s="73" t="str">
        <f>IFERROR(__xludf.DUMMYFUNCTION("""COMPUTED_VALUE"""),"3.91B")</f>
        <v>3.91B</v>
      </c>
      <c r="F338" s="73" t="str">
        <f>IFERROR(__xludf.DUMMYFUNCTION("""COMPUTED_VALUE"""),"4.73B")</f>
        <v>4.73B</v>
      </c>
      <c r="G338" s="73"/>
    </row>
    <row r="339">
      <c r="A339" s="73" t="str">
        <f>IFERROR(__xludf.DUMMYFUNCTION("""COMPUTED_VALUE"""),"Other Current Liabilities
Other Current Liabilities")</f>
        <v>Other Current Liabilities
Other Current Liabilities</v>
      </c>
      <c r="B339" s="73" t="str">
        <f>IFERROR(__xludf.DUMMYFUNCTION("""COMPUTED_VALUE"""),"15.32B")</f>
        <v>15.32B</v>
      </c>
      <c r="C339" s="73" t="str">
        <f>IFERROR(__xludf.DUMMYFUNCTION("""COMPUTED_VALUE"""),"15.76B")</f>
        <v>15.76B</v>
      </c>
      <c r="D339" s="73" t="str">
        <f>IFERROR(__xludf.DUMMYFUNCTION("""COMPUTED_VALUE"""),"17.47B")</f>
        <v>17.47B</v>
      </c>
      <c r="E339" s="73" t="str">
        <f>IFERROR(__xludf.DUMMYFUNCTION("""COMPUTED_VALUE"""),"17.5B")</f>
        <v>17.5B</v>
      </c>
      <c r="F339" s="73" t="str">
        <f>IFERROR(__xludf.DUMMYFUNCTION("""COMPUTED_VALUE"""),"16.31B")</f>
        <v>16.31B</v>
      </c>
      <c r="G339" s="73"/>
    </row>
    <row r="340">
      <c r="A340" s="73" t="str">
        <f>IFERROR(__xludf.DUMMYFUNCTION("""COMPUTED_VALUE"""),"Dividends Payable
Dividends Payable")</f>
        <v>Dividends Payable
Dividends Payable</v>
      </c>
      <c r="B340" s="73" t="str">
        <f>IFERROR(__xludf.DUMMYFUNCTION("""COMPUTED_VALUE"""),"1.77B")</f>
        <v>1.77B</v>
      </c>
      <c r="C340" s="73" t="str">
        <f>IFERROR(__xludf.DUMMYFUNCTION("""COMPUTED_VALUE"""),"1.88B")</f>
        <v>1.88B</v>
      </c>
      <c r="D340" s="73" t="str">
        <f>IFERROR(__xludf.DUMMYFUNCTION("""COMPUTED_VALUE"""),"1.99B")</f>
        <v>1.99B</v>
      </c>
      <c r="E340" s="73" t="str">
        <f>IFERROR(__xludf.DUMMYFUNCTION("""COMPUTED_VALUE"""),"2.08B")</f>
        <v>2.08B</v>
      </c>
      <c r="F340" s="73" t="str">
        <f>IFERROR(__xludf.DUMMYFUNCTION("""COMPUTED_VALUE"""),"2.14B")</f>
        <v>2.14B</v>
      </c>
      <c r="G340" s="73"/>
    </row>
    <row r="341">
      <c r="A341" s="73" t="str">
        <f>IFERROR(__xludf.DUMMYFUNCTION("""COMPUTED_VALUE"""),"Accrued Payroll
Accrued Payroll")</f>
        <v>Accrued Payroll
Accrued Payroll</v>
      </c>
      <c r="B341" s="73" t="str">
        <f>IFERROR(__xludf.DUMMYFUNCTION("""COMPUTED_VALUE"""),"94M")</f>
        <v>94M</v>
      </c>
      <c r="C341" s="73" t="str">
        <f>IFERROR(__xludf.DUMMYFUNCTION("""COMPUTED_VALUE"""),"86M")</f>
        <v>86M</v>
      </c>
      <c r="D341" s="73" t="str">
        <f>IFERROR(__xludf.DUMMYFUNCTION("""COMPUTED_VALUE"""),"76M")</f>
        <v>76M</v>
      </c>
      <c r="E341" s="73" t="str">
        <f>IFERROR(__xludf.DUMMYFUNCTION("""COMPUTED_VALUE"""),"80M")</f>
        <v>80M</v>
      </c>
      <c r="F341" s="73" t="str">
        <f>IFERROR(__xludf.DUMMYFUNCTION("""COMPUTED_VALUE"""),"85M")</f>
        <v>85M</v>
      </c>
      <c r="G341" s="73"/>
    </row>
    <row r="342">
      <c r="A342" s="73" t="str">
        <f>IFERROR(__xludf.DUMMYFUNCTION("""COMPUTED_VALUE"""),"Miscellaneous Current Liabilities
Miscellaneous Current Liabilities")</f>
        <v>Miscellaneous Current Liabilities
Miscellaneous Current Liabilities</v>
      </c>
      <c r="B342" s="73" t="str">
        <f>IFERROR(__xludf.DUMMYFUNCTION("""COMPUTED_VALUE"""),"13.46B")</f>
        <v>13.46B</v>
      </c>
      <c r="C342" s="73" t="str">
        <f>IFERROR(__xludf.DUMMYFUNCTION("""COMPUTED_VALUE"""),"13.79B")</f>
        <v>13.79B</v>
      </c>
      <c r="D342" s="73" t="str">
        <f>IFERROR(__xludf.DUMMYFUNCTION("""COMPUTED_VALUE"""),"15.41B")</f>
        <v>15.41B</v>
      </c>
      <c r="E342" s="73" t="str">
        <f>IFERROR(__xludf.DUMMYFUNCTION("""COMPUTED_VALUE"""),"15.33B")</f>
        <v>15.33B</v>
      </c>
      <c r="F342" s="73" t="str">
        <f>IFERROR(__xludf.DUMMYFUNCTION("""COMPUTED_VALUE"""),"14.09B")</f>
        <v>14.09B</v>
      </c>
      <c r="G342" s="73"/>
    </row>
    <row r="343">
      <c r="A343" s="73" t="str">
        <f>IFERROR(__xludf.DUMMYFUNCTION("""COMPUTED_VALUE"""),"Total Current Liabilities
Total Current Liabilities")</f>
        <v>Total Current Liabilities
Total Current Liabilities</v>
      </c>
      <c r="B343" s="73" t="str">
        <f>IFERROR(__xludf.DUMMYFUNCTION("""COMPUTED_VALUE"""),"23.87B")</f>
        <v>23.87B</v>
      </c>
      <c r="C343" s="73" t="str">
        <f>IFERROR(__xludf.DUMMYFUNCTION("""COMPUTED_VALUE"""),"24.24B")</f>
        <v>24.24B</v>
      </c>
      <c r="D343" s="73" t="str">
        <f>IFERROR(__xludf.DUMMYFUNCTION("""COMPUTED_VALUE"""),"25.69B")</f>
        <v>25.69B</v>
      </c>
      <c r="E343" s="73" t="str">
        <f>IFERROR(__xludf.DUMMYFUNCTION("""COMPUTED_VALUE"""),"28.42B")</f>
        <v>28.42B</v>
      </c>
      <c r="F343" s="73" t="str">
        <f>IFERROR(__xludf.DUMMYFUNCTION("""COMPUTED_VALUE"""),"28.33B")</f>
        <v>28.33B</v>
      </c>
      <c r="G343" s="73"/>
    </row>
    <row r="344">
      <c r="A344" s="73" t="str">
        <f>IFERROR(__xludf.DUMMYFUNCTION("""COMPUTED_VALUE"""),"Long-Term Debt
Long-Term Debt")</f>
        <v>Long-Term Debt
Long-Term Debt</v>
      </c>
      <c r="B344" s="73" t="str">
        <f>IFERROR(__xludf.DUMMYFUNCTION("""COMPUTED_VALUE"""),"31.92B")</f>
        <v>31.92B</v>
      </c>
      <c r="C344" s="73" t="str">
        <f>IFERROR(__xludf.DUMMYFUNCTION("""COMPUTED_VALUE"""),"29.76B")</f>
        <v>29.76B</v>
      </c>
      <c r="D344" s="73" t="str">
        <f>IFERROR(__xludf.DUMMYFUNCTION("""COMPUTED_VALUE"""),"34.61B")</f>
        <v>34.61B</v>
      </c>
      <c r="E344" s="73" t="str">
        <f>IFERROR(__xludf.DUMMYFUNCTION("""COMPUTED_VALUE"""),"35.34B")</f>
        <v>35.34B</v>
      </c>
      <c r="F344" s="73" t="str">
        <f>IFERROR(__xludf.DUMMYFUNCTION("""COMPUTED_VALUE"""),"47.65B")</f>
        <v>47.65B</v>
      </c>
      <c r="G344" s="73"/>
    </row>
    <row r="345">
      <c r="A345" s="73" t="str">
        <f>IFERROR(__xludf.DUMMYFUNCTION("""COMPUTED_VALUE"""),"Long-Term Debt excl. Capitalized Leases
Long-Term Debt excl. Capitalized Leases")</f>
        <v>Long-Term Debt excl. Capitalized Leases
Long-Term Debt excl. Capitalized Leases</v>
      </c>
      <c r="B345" s="73" t="str">
        <f>IFERROR(__xludf.DUMMYFUNCTION("""COMPUTED_VALUE"""),"31.92B")</f>
        <v>31.92B</v>
      </c>
      <c r="C345" s="73" t="str">
        <f>IFERROR(__xludf.DUMMYFUNCTION("""COMPUTED_VALUE"""),"29.76B")</f>
        <v>29.76B</v>
      </c>
      <c r="D345" s="73" t="str">
        <f>IFERROR(__xludf.DUMMYFUNCTION("""COMPUTED_VALUE"""),"34.61B")</f>
        <v>34.61B</v>
      </c>
      <c r="E345" s="73" t="str">
        <f>IFERROR(__xludf.DUMMYFUNCTION("""COMPUTED_VALUE"""),"35.34B")</f>
        <v>35.34B</v>
      </c>
      <c r="F345" s="73" t="str">
        <f>IFERROR(__xludf.DUMMYFUNCTION("""COMPUTED_VALUE"""),"47.65B")</f>
        <v>47.65B</v>
      </c>
      <c r="G345" s="73"/>
    </row>
    <row r="346">
      <c r="A346" s="73" t="str">
        <f>IFERROR(__xludf.DUMMYFUNCTION("""COMPUTED_VALUE"""),"Non-Convertible Debt
Non-Convertible Debt")</f>
        <v>Non-Convertible Debt
Non-Convertible Debt</v>
      </c>
      <c r="B346" s="73" t="str">
        <f>IFERROR(__xludf.DUMMYFUNCTION("""COMPUTED_VALUE"""),"30.69B")</f>
        <v>30.69B</v>
      </c>
      <c r="C346" s="73" t="str">
        <f>IFERROR(__xludf.DUMMYFUNCTION("""COMPUTED_VALUE"""),"28.75B")</f>
        <v>28.75B</v>
      </c>
      <c r="D346" s="73" t="str">
        <f>IFERROR(__xludf.DUMMYFUNCTION("""COMPUTED_VALUE"""),"33.68B")</f>
        <v>33.68B</v>
      </c>
      <c r="E346" s="73" t="str">
        <f>IFERROR(__xludf.DUMMYFUNCTION("""COMPUTED_VALUE"""),"34.46B")</f>
        <v>34.46B</v>
      </c>
      <c r="F346" s="73" t="str">
        <f>IFERROR(__xludf.DUMMYFUNCTION("""COMPUTED_VALUE"""),"46.75B")</f>
        <v>46.75B</v>
      </c>
      <c r="G346" s="73"/>
    </row>
    <row r="347">
      <c r="A347" s="73" t="str">
        <f>IFERROR(__xludf.DUMMYFUNCTION("""COMPUTED_VALUE"""),"Convertible Debt
Convertible Debt")</f>
        <v>Convertible Debt
Convertible Debt</v>
      </c>
      <c r="B347" s="73" t="str">
        <f>IFERROR(__xludf.DUMMYFUNCTION("""COMPUTED_VALUE"""),"-")</f>
        <v>-</v>
      </c>
      <c r="C347" s="73" t="str">
        <f>IFERROR(__xludf.DUMMYFUNCTION("""COMPUTED_VALUE"""),"-")</f>
        <v>-</v>
      </c>
      <c r="D347" s="73" t="str">
        <f>IFERROR(__xludf.DUMMYFUNCTION("""COMPUTED_VALUE"""),"-")</f>
        <v>-</v>
      </c>
      <c r="E347" s="73" t="str">
        <f>IFERROR(__xludf.DUMMYFUNCTION("""COMPUTED_VALUE"""),"-")</f>
        <v>-</v>
      </c>
      <c r="F347" s="73" t="str">
        <f>IFERROR(__xludf.DUMMYFUNCTION("""COMPUTED_VALUE"""),"-")</f>
        <v>-</v>
      </c>
      <c r="G347" s="73"/>
    </row>
    <row r="348">
      <c r="A348" s="73" t="str">
        <f>IFERROR(__xludf.DUMMYFUNCTION("""COMPUTED_VALUE"""),"Capitalized Lease Obligations
Capitalized Lease Obligations")</f>
        <v>Capitalized Lease Obligations
Capitalized Lease Obligations</v>
      </c>
      <c r="B348" s="73" t="str">
        <f>IFERROR(__xludf.DUMMYFUNCTION("""COMPUTED_VALUE"""),"-")</f>
        <v>-</v>
      </c>
      <c r="C348" s="73" t="str">
        <f>IFERROR(__xludf.DUMMYFUNCTION("""COMPUTED_VALUE"""),"-")</f>
        <v>-</v>
      </c>
      <c r="D348" s="73" t="str">
        <f>IFERROR(__xludf.DUMMYFUNCTION("""COMPUTED_VALUE"""),"-")</f>
        <v>-</v>
      </c>
      <c r="E348" s="73" t="str">
        <f>IFERROR(__xludf.DUMMYFUNCTION("""COMPUTED_VALUE"""),"-")</f>
        <v>-</v>
      </c>
      <c r="F348" s="73" t="str">
        <f>IFERROR(__xludf.DUMMYFUNCTION("""COMPUTED_VALUE"""),"-")</f>
        <v>-</v>
      </c>
      <c r="G348" s="73"/>
    </row>
    <row r="349">
      <c r="A349" s="73" t="str">
        <f>IFERROR(__xludf.DUMMYFUNCTION("""COMPUTED_VALUE"""),"Provision for Risks &amp; Charges
Provision for Risks &amp; Charges")</f>
        <v>Provision for Risks &amp; Charges
Provision for Risks &amp; Charges</v>
      </c>
      <c r="B349" s="73" t="str">
        <f>IFERROR(__xludf.DUMMYFUNCTION("""COMPUTED_VALUE"""),"1.87B")</f>
        <v>1.87B</v>
      </c>
      <c r="C349" s="73" t="str">
        <f>IFERROR(__xludf.DUMMYFUNCTION("""COMPUTED_VALUE"""),"1.22B")</f>
        <v>1.22B</v>
      </c>
      <c r="D349" s="73" t="str">
        <f>IFERROR(__xludf.DUMMYFUNCTION("""COMPUTED_VALUE"""),"1.23B")</f>
        <v>1.23B</v>
      </c>
      <c r="E349" s="73" t="str">
        <f>IFERROR(__xludf.DUMMYFUNCTION("""COMPUTED_VALUE"""),"939M")</f>
        <v>939M</v>
      </c>
      <c r="F349" s="73" t="str">
        <f>IFERROR(__xludf.DUMMYFUNCTION("""COMPUTED_VALUE"""),"839M")</f>
        <v>839M</v>
      </c>
      <c r="G349" s="73"/>
    </row>
    <row r="350">
      <c r="A350" s="73" t="str">
        <f>IFERROR(__xludf.DUMMYFUNCTION("""COMPUTED_VALUE"""),"Deferred Taxes
Deferred Taxes")</f>
        <v>Deferred Taxes
Deferred Taxes</v>
      </c>
      <c r="B350" s="73" t="str">
        <f>IFERROR(__xludf.DUMMYFUNCTION("""COMPUTED_VALUE"""),"3.44B")</f>
        <v>3.44B</v>
      </c>
      <c r="C350" s="73" t="str">
        <f>IFERROR(__xludf.DUMMYFUNCTION("""COMPUTED_VALUE"""),"1.8B")</f>
        <v>1.8B</v>
      </c>
      <c r="D350" s="73" t="str">
        <f>IFERROR(__xludf.DUMMYFUNCTION("""COMPUTED_VALUE"""),"871M")</f>
        <v>871M</v>
      </c>
      <c r="E350" s="73" t="str">
        <f>IFERROR(__xludf.DUMMYFUNCTION("""COMPUTED_VALUE"""),"1.39B")</f>
        <v>1.39B</v>
      </c>
      <c r="F350" s="73" t="str">
        <f>IFERROR(__xludf.DUMMYFUNCTION("""COMPUTED_VALUE"""),"1.44B")</f>
        <v>1.44B</v>
      </c>
      <c r="G350" s="73"/>
    </row>
    <row r="351">
      <c r="A351" s="73" t="str">
        <f>IFERROR(__xludf.DUMMYFUNCTION("""COMPUTED_VALUE"""),"Deferred Taxes - Credits
Deferred Taxes - Credits")</f>
        <v>Deferred Taxes - Credits
Deferred Taxes - Credits</v>
      </c>
      <c r="B351" s="73" t="str">
        <f>IFERROR(__xludf.DUMMYFUNCTION("""COMPUTED_VALUE"""),"3.44B")</f>
        <v>3.44B</v>
      </c>
      <c r="C351" s="73" t="str">
        <f>IFERROR(__xludf.DUMMYFUNCTION("""COMPUTED_VALUE"""),"1.8B")</f>
        <v>1.8B</v>
      </c>
      <c r="D351" s="73" t="str">
        <f>IFERROR(__xludf.DUMMYFUNCTION("""COMPUTED_VALUE"""),"871M")</f>
        <v>871M</v>
      </c>
      <c r="E351" s="73" t="str">
        <f>IFERROR(__xludf.DUMMYFUNCTION("""COMPUTED_VALUE"""),"1.39B")</f>
        <v>1.39B</v>
      </c>
      <c r="F351" s="73" t="str">
        <f>IFERROR(__xludf.DUMMYFUNCTION("""COMPUTED_VALUE"""),"1.44B")</f>
        <v>1.44B</v>
      </c>
      <c r="G351" s="73"/>
    </row>
    <row r="352">
      <c r="A352" s="73" t="str">
        <f>IFERROR(__xludf.DUMMYFUNCTION("""COMPUTED_VALUE"""),"Deferred Taxes - Debit
Deferred Taxes - Debit")</f>
        <v>Deferred Taxes - Debit
Deferred Taxes - Debit</v>
      </c>
      <c r="B352" s="73" t="str">
        <f>IFERROR(__xludf.DUMMYFUNCTION("""COMPUTED_VALUE"""),"-")</f>
        <v>-</v>
      </c>
      <c r="C352" s="73" t="str">
        <f>IFERROR(__xludf.DUMMYFUNCTION("""COMPUTED_VALUE"""),"-")</f>
        <v>-</v>
      </c>
      <c r="D352" s="73" t="str">
        <f>IFERROR(__xludf.DUMMYFUNCTION("""COMPUTED_VALUE"""),"-")</f>
        <v>-</v>
      </c>
      <c r="E352" s="73" t="str">
        <f>IFERROR(__xludf.DUMMYFUNCTION("""COMPUTED_VALUE"""),"-")</f>
        <v>-</v>
      </c>
      <c r="F352" s="73" t="str">
        <f>IFERROR(__xludf.DUMMYFUNCTION("""COMPUTED_VALUE"""),"-")</f>
        <v>-</v>
      </c>
      <c r="G352" s="73"/>
    </row>
    <row r="353">
      <c r="A353" s="73" t="str">
        <f>IFERROR(__xludf.DUMMYFUNCTION("""COMPUTED_VALUE"""),"Other Liabilities
Other Liabilities")</f>
        <v>Other Liabilities
Other Liabilities</v>
      </c>
      <c r="B353" s="73" t="str">
        <f>IFERROR(__xludf.DUMMYFUNCTION("""COMPUTED_VALUE"""),"6.34B")</f>
        <v>6.34B</v>
      </c>
      <c r="C353" s="73" t="str">
        <f>IFERROR(__xludf.DUMMYFUNCTION("""COMPUTED_VALUE"""),"6.09B")</f>
        <v>6.09B</v>
      </c>
      <c r="D353" s="73" t="str">
        <f>IFERROR(__xludf.DUMMYFUNCTION("""COMPUTED_VALUE"""),"6.63B")</f>
        <v>6.63B</v>
      </c>
      <c r="E353" s="73" t="str">
        <f>IFERROR(__xludf.DUMMYFUNCTION("""COMPUTED_VALUE"""),"4.65B")</f>
        <v>4.65B</v>
      </c>
      <c r="F353" s="73" t="str">
        <f>IFERROR(__xludf.DUMMYFUNCTION("""COMPUTED_VALUE"""),"5.95B")</f>
        <v>5.95B</v>
      </c>
      <c r="G353" s="73"/>
    </row>
    <row r="354">
      <c r="A354" s="73" t="str">
        <f>IFERROR(__xludf.DUMMYFUNCTION("""COMPUTED_VALUE"""),"Other Liabilities (excl. Deferred Income)
Other Liabilities (excl. Deferred Income)")</f>
        <v>Other Liabilities (excl. Deferred Income)
Other Liabilities (excl. Deferred Income)</v>
      </c>
      <c r="B354" s="73" t="str">
        <f>IFERROR(__xludf.DUMMYFUNCTION("""COMPUTED_VALUE"""),"6.34B")</f>
        <v>6.34B</v>
      </c>
      <c r="C354" s="73" t="str">
        <f>IFERROR(__xludf.DUMMYFUNCTION("""COMPUTED_VALUE"""),"6.09B")</f>
        <v>6.09B</v>
      </c>
      <c r="D354" s="73" t="str">
        <f>IFERROR(__xludf.DUMMYFUNCTION("""COMPUTED_VALUE"""),"6.63B")</f>
        <v>6.63B</v>
      </c>
      <c r="E354" s="73" t="str">
        <f>IFERROR(__xludf.DUMMYFUNCTION("""COMPUTED_VALUE"""),"4.65B")</f>
        <v>4.65B</v>
      </c>
      <c r="F354" s="73" t="str">
        <f>IFERROR(__xludf.DUMMYFUNCTION("""COMPUTED_VALUE"""),"5.95B")</f>
        <v>5.95B</v>
      </c>
      <c r="G354" s="73"/>
    </row>
    <row r="355">
      <c r="A355" s="73" t="str">
        <f>IFERROR(__xludf.DUMMYFUNCTION("""COMPUTED_VALUE"""),"Deferred Income
Deferred Income")</f>
        <v>Deferred Income
Deferred Income</v>
      </c>
      <c r="B355" s="73" t="str">
        <f>IFERROR(__xludf.DUMMYFUNCTION("""COMPUTED_VALUE"""),"-")</f>
        <v>-</v>
      </c>
      <c r="C355" s="73" t="str">
        <f>IFERROR(__xludf.DUMMYFUNCTION("""COMPUTED_VALUE"""),"-")</f>
        <v>-</v>
      </c>
      <c r="D355" s="73" t="str">
        <f>IFERROR(__xludf.DUMMYFUNCTION("""COMPUTED_VALUE"""),"-")</f>
        <v>-</v>
      </c>
      <c r="E355" s="73" t="str">
        <f>IFERROR(__xludf.DUMMYFUNCTION("""COMPUTED_VALUE"""),"-")</f>
        <v>-</v>
      </c>
      <c r="F355" s="73" t="str">
        <f>IFERROR(__xludf.DUMMYFUNCTION("""COMPUTED_VALUE"""),"-")</f>
        <v>-</v>
      </c>
      <c r="G355" s="73"/>
    </row>
    <row r="356">
      <c r="A356" s="73" t="str">
        <f>IFERROR(__xludf.DUMMYFUNCTION("""COMPUTED_VALUE"""),"Total Liabilities
Total Liabilities")</f>
        <v>Total Liabilities
Total Liabilities</v>
      </c>
      <c r="B356" s="73" t="str">
        <f>IFERROR(__xludf.DUMMYFUNCTION("""COMPUTED_VALUE"""),"67.44B")</f>
        <v>67.44B</v>
      </c>
      <c r="C356" s="73" t="str">
        <f>IFERROR(__xludf.DUMMYFUNCTION("""COMPUTED_VALUE"""),"63.1B")</f>
        <v>63.1B</v>
      </c>
      <c r="D356" s="73" t="str">
        <f>IFERROR(__xludf.DUMMYFUNCTION("""COMPUTED_VALUE"""),"69.04B")</f>
        <v>69.04B</v>
      </c>
      <c r="E356" s="73" t="str">
        <f>IFERROR(__xludf.DUMMYFUNCTION("""COMPUTED_VALUE"""),"70.73B")</f>
        <v>70.73B</v>
      </c>
      <c r="F356" s="73" t="str">
        <f>IFERROR(__xludf.DUMMYFUNCTION("""COMPUTED_VALUE"""),"84.2B")</f>
        <v>84.2B</v>
      </c>
      <c r="G356" s="73"/>
    </row>
    <row r="357">
      <c r="A357" s="73" t="str">
        <f>IFERROR(__xludf.DUMMYFUNCTION("""COMPUTED_VALUE"""),"Non-Equity Reserves
Non-Equity Reserves")</f>
        <v>Non-Equity Reserves
Non-Equity Reserves</v>
      </c>
      <c r="B357" s="73" t="str">
        <f>IFERROR(__xludf.DUMMYFUNCTION("""COMPUTED_VALUE"""),"-")</f>
        <v>-</v>
      </c>
      <c r="C357" s="73" t="str">
        <f>IFERROR(__xludf.DUMMYFUNCTION("""COMPUTED_VALUE"""),"-")</f>
        <v>-</v>
      </c>
      <c r="D357" s="73" t="str">
        <f>IFERROR(__xludf.DUMMYFUNCTION("""COMPUTED_VALUE"""),"-")</f>
        <v>-</v>
      </c>
      <c r="E357" s="73" t="str">
        <f>IFERROR(__xludf.DUMMYFUNCTION("""COMPUTED_VALUE"""),"-")</f>
        <v>-</v>
      </c>
      <c r="F357" s="73" t="str">
        <f>IFERROR(__xludf.DUMMYFUNCTION("""COMPUTED_VALUE"""),"-")</f>
        <v>-</v>
      </c>
      <c r="G357" s="73"/>
    </row>
    <row r="358">
      <c r="A358" s="73" t="str">
        <f>IFERROR(__xludf.DUMMYFUNCTION("""COMPUTED_VALUE"""),"Total Liabilities / Total Assets
Total Liabilities / Total Assets")</f>
        <v>Total Liabilities / Total Assets
Total Liabilities / Total Assets</v>
      </c>
      <c r="B358" s="72">
        <f>IFERROR(__xludf.DUMMYFUNCTION("""COMPUTED_VALUE"""),0.638)</f>
        <v>0.638</v>
      </c>
      <c r="C358" s="72">
        <f>IFERROR(__xludf.DUMMYFUNCTION("""COMPUTED_VALUE"""),0.5781)</f>
        <v>0.5781</v>
      </c>
      <c r="D358" s="72">
        <f>IFERROR(__xludf.DUMMYFUNCTION("""COMPUTED_VALUE"""),0.6472)</f>
        <v>0.6472</v>
      </c>
      <c r="E358" s="72">
        <f>IFERROR(__xludf.DUMMYFUNCTION("""COMPUTED_VALUE"""),0.604)</f>
        <v>0.604</v>
      </c>
      <c r="F358" s="72">
        <f>IFERROR(__xludf.DUMMYFUNCTION("""COMPUTED_VALUE"""),0.6152)</f>
        <v>0.6152</v>
      </c>
      <c r="G358" s="73"/>
    </row>
    <row r="359">
      <c r="A359" s="73" t="str">
        <f>IFERROR(__xludf.DUMMYFUNCTION("""COMPUTED_VALUE"""),"Preferred Stock (Carrying Value)
Preferred Stock (Carrying Value)")</f>
        <v>Preferred Stock (Carrying Value)
Preferred Stock (Carrying Value)</v>
      </c>
      <c r="B359" s="73" t="str">
        <f>IFERROR(__xludf.DUMMYFUNCTION("""COMPUTED_VALUE"""),"-")</f>
        <v>-</v>
      </c>
      <c r="C359" s="73" t="str">
        <f>IFERROR(__xludf.DUMMYFUNCTION("""COMPUTED_VALUE"""),"-")</f>
        <v>-</v>
      </c>
      <c r="D359" s="73" t="str">
        <f>IFERROR(__xludf.DUMMYFUNCTION("""COMPUTED_VALUE"""),"-")</f>
        <v>-</v>
      </c>
      <c r="E359" s="73" t="str">
        <f>IFERROR(__xludf.DUMMYFUNCTION("""COMPUTED_VALUE"""),"-")</f>
        <v>-</v>
      </c>
      <c r="F359" s="73" t="str">
        <f>IFERROR(__xludf.DUMMYFUNCTION("""COMPUTED_VALUE"""),"-")</f>
        <v>-</v>
      </c>
      <c r="G359" s="73"/>
    </row>
    <row r="360">
      <c r="A360" s="73" t="str">
        <f>IFERROR(__xludf.DUMMYFUNCTION("""COMPUTED_VALUE"""),"Redeemable Preferred Stock
Redeemable Preferred Stock")</f>
        <v>Redeemable Preferred Stock
Redeemable Preferred Stock</v>
      </c>
      <c r="B360" s="73" t="str">
        <f>IFERROR(__xludf.DUMMYFUNCTION("""COMPUTED_VALUE"""),"-")</f>
        <v>-</v>
      </c>
      <c r="C360" s="73" t="str">
        <f>IFERROR(__xludf.DUMMYFUNCTION("""COMPUTED_VALUE"""),"-")</f>
        <v>-</v>
      </c>
      <c r="D360" s="73" t="str">
        <f>IFERROR(__xludf.DUMMYFUNCTION("""COMPUTED_VALUE"""),"-")</f>
        <v>-</v>
      </c>
      <c r="E360" s="73" t="str">
        <f>IFERROR(__xludf.DUMMYFUNCTION("""COMPUTED_VALUE"""),"-")</f>
        <v>-</v>
      </c>
      <c r="F360" s="73" t="str">
        <f>IFERROR(__xludf.DUMMYFUNCTION("""COMPUTED_VALUE"""),"-")</f>
        <v>-</v>
      </c>
      <c r="G360" s="73"/>
    </row>
    <row r="361">
      <c r="A361" s="73" t="str">
        <f>IFERROR(__xludf.DUMMYFUNCTION("""COMPUTED_VALUE"""),"Non-Redeemable Preferred Stock
Non-Redeemable Preferred Stock")</f>
        <v>Non-Redeemable Preferred Stock
Non-Redeemable Preferred Stock</v>
      </c>
      <c r="B361" s="73" t="str">
        <f>IFERROR(__xludf.DUMMYFUNCTION("""COMPUTED_VALUE"""),"-")</f>
        <v>-</v>
      </c>
      <c r="C361" s="73" t="str">
        <f>IFERROR(__xludf.DUMMYFUNCTION("""COMPUTED_VALUE"""),"-")</f>
        <v>-</v>
      </c>
      <c r="D361" s="73" t="str">
        <f>IFERROR(__xludf.DUMMYFUNCTION("""COMPUTED_VALUE"""),"-")</f>
        <v>-</v>
      </c>
      <c r="E361" s="73" t="str">
        <f>IFERROR(__xludf.DUMMYFUNCTION("""COMPUTED_VALUE"""),"-")</f>
        <v>-</v>
      </c>
      <c r="F361" s="73" t="str">
        <f>IFERROR(__xludf.DUMMYFUNCTION("""COMPUTED_VALUE"""),"-")</f>
        <v>-</v>
      </c>
      <c r="G361" s="73"/>
    </row>
    <row r="362">
      <c r="A362" s="73" t="str">
        <f>IFERROR(__xludf.DUMMYFUNCTION("""COMPUTED_VALUE"""),"Common Equity (Total)
Common Equity (Total)")</f>
        <v>Common Equity (Total)
Common Equity (Total)</v>
      </c>
      <c r="B362" s="73" t="str">
        <f>IFERROR(__xludf.DUMMYFUNCTION("""COMPUTED_VALUE"""),"38.18B")</f>
        <v>38.18B</v>
      </c>
      <c r="C362" s="73" t="str">
        <f>IFERROR(__xludf.DUMMYFUNCTION("""COMPUTED_VALUE"""),"45.99B")</f>
        <v>45.99B</v>
      </c>
      <c r="D362" s="73" t="str">
        <f>IFERROR(__xludf.DUMMYFUNCTION("""COMPUTED_VALUE"""),"37.58B")</f>
        <v>37.58B</v>
      </c>
      <c r="E362" s="73" t="str">
        <f>IFERROR(__xludf.DUMMYFUNCTION("""COMPUTED_VALUE"""),"46.31B")</f>
        <v>46.31B</v>
      </c>
      <c r="F362" s="73" t="str">
        <f>IFERROR(__xludf.DUMMYFUNCTION("""COMPUTED_VALUE"""),"52.61B")</f>
        <v>52.61B</v>
      </c>
      <c r="G362" s="73"/>
    </row>
    <row r="363">
      <c r="A363" s="73" t="str">
        <f>IFERROR(__xludf.DUMMYFUNCTION("""COMPUTED_VALUE"""),"Common Equity / Total Assets
Common Equity / Total Assets")</f>
        <v>Common Equity / Total Assets
Common Equity / Total Assets</v>
      </c>
      <c r="B363" s="72">
        <f>IFERROR(__xludf.DUMMYFUNCTION("""COMPUTED_VALUE"""),0.3613)</f>
        <v>0.3613</v>
      </c>
      <c r="C363" s="72">
        <f>IFERROR(__xludf.DUMMYFUNCTION("""COMPUTED_VALUE"""),0.4213)</f>
        <v>0.4213</v>
      </c>
      <c r="D363" s="72">
        <f>IFERROR(__xludf.DUMMYFUNCTION("""COMPUTED_VALUE"""),0.3523)</f>
        <v>0.3523</v>
      </c>
      <c r="E363" s="72">
        <f>IFERROR(__xludf.DUMMYFUNCTION("""COMPUTED_VALUE"""),0.3955)</f>
        <v>0.3955</v>
      </c>
      <c r="F363" s="72">
        <f>IFERROR(__xludf.DUMMYFUNCTION("""COMPUTED_VALUE"""),0.3844)</f>
        <v>0.3844</v>
      </c>
      <c r="G363" s="73"/>
    </row>
    <row r="364">
      <c r="A364" s="73" t="str">
        <f>IFERROR(__xludf.DUMMYFUNCTION("""COMPUTED_VALUE"""),"Common Stock Par/Carry Value
Common Stock Par/Carry Value")</f>
        <v>Common Stock Par/Carry Value
Common Stock Par/Carry Value</v>
      </c>
      <c r="B364" s="73" t="str">
        <f>IFERROR(__xludf.DUMMYFUNCTION("""COMPUTED_VALUE"""),"1.79B")</f>
        <v>1.79B</v>
      </c>
      <c r="C364" s="73" t="str">
        <f>IFERROR(__xludf.DUMMYFUNCTION("""COMPUTED_VALUE"""),"1.79B")</f>
        <v>1.79B</v>
      </c>
      <c r="D364" s="73" t="str">
        <f>IFERROR(__xludf.DUMMYFUNCTION("""COMPUTED_VALUE"""),"1.79B")</f>
        <v>1.79B</v>
      </c>
      <c r="E364" s="73" t="str">
        <f>IFERROR(__xludf.DUMMYFUNCTION("""COMPUTED_VALUE"""),"1.79B")</f>
        <v>1.79B</v>
      </c>
      <c r="F364" s="73" t="str">
        <f>IFERROR(__xludf.DUMMYFUNCTION("""COMPUTED_VALUE"""),"1.79B")</f>
        <v>1.79B</v>
      </c>
      <c r="G364" s="73"/>
    </row>
    <row r="365">
      <c r="A365" s="73" t="str">
        <f>IFERROR(__xludf.DUMMYFUNCTION("""COMPUTED_VALUE"""),"Retained Earnings
Retained Earnings")</f>
        <v>Retained Earnings
Retained Earnings</v>
      </c>
      <c r="B365" s="73" t="str">
        <f>IFERROR(__xludf.DUMMYFUNCTION("""COMPUTED_VALUE"""),"53.7B")</f>
        <v>53.7B</v>
      </c>
      <c r="C365" s="73" t="str">
        <f>IFERROR(__xludf.DUMMYFUNCTION("""COMPUTED_VALUE"""),"61.08B")</f>
        <v>61.08B</v>
      </c>
      <c r="D365" s="73" t="str">
        <f>IFERROR(__xludf.DUMMYFUNCTION("""COMPUTED_VALUE"""),"53.9B")</f>
        <v>53.9B</v>
      </c>
      <c r="E365" s="73" t="str">
        <f>IFERROR(__xludf.DUMMYFUNCTION("""COMPUTED_VALUE"""),"63.07B")</f>
        <v>63.07B</v>
      </c>
      <c r="F365" s="73" t="str">
        <f>IFERROR(__xludf.DUMMYFUNCTION("""COMPUTED_VALUE"""),"73.08B")</f>
        <v>73.08B</v>
      </c>
      <c r="G365" s="73"/>
    </row>
    <row r="366">
      <c r="A366" s="73" t="str">
        <f>IFERROR(__xludf.DUMMYFUNCTION("""COMPUTED_VALUE"""),"ESOP Debt Guarantee
ESOP Debt Guarantee")</f>
        <v>ESOP Debt Guarantee
ESOP Debt Guarantee</v>
      </c>
      <c r="B366" s="73" t="str">
        <f>IFERROR(__xludf.DUMMYFUNCTION("""COMPUTED_VALUE"""),"-")</f>
        <v>-</v>
      </c>
      <c r="C366" s="73" t="str">
        <f>IFERROR(__xludf.DUMMYFUNCTION("""COMPUTED_VALUE"""),"-")</f>
        <v>-</v>
      </c>
      <c r="D366" s="73" t="str">
        <f>IFERROR(__xludf.DUMMYFUNCTION("""COMPUTED_VALUE"""),"-")</f>
        <v>-</v>
      </c>
      <c r="E366" s="73" t="str">
        <f>IFERROR(__xludf.DUMMYFUNCTION("""COMPUTED_VALUE"""),"-")</f>
        <v>-</v>
      </c>
      <c r="F366" s="73" t="str">
        <f>IFERROR(__xludf.DUMMYFUNCTION("""COMPUTED_VALUE"""),"-")</f>
        <v>-</v>
      </c>
      <c r="G366" s="73"/>
    </row>
    <row r="367">
      <c r="A367" s="73" t="str">
        <f>IFERROR(__xludf.DUMMYFUNCTION("""COMPUTED_VALUE"""),"Cumulative Translation Adjustment/Unrealized For. Exch. Gain
Cumulative Translation Adjustment/Unrealized For. Exch. Gain")</f>
        <v>Cumulative Translation Adjustment/Unrealized For. Exch. Gain
Cumulative Translation Adjustment/Unrealized For. Exch. Gain</v>
      </c>
      <c r="B367" s="73" t="str">
        <f>IFERROR(__xludf.DUMMYFUNCTION("""COMPUTED_VALUE"""),"(1.83B)")</f>
        <v>(1.83B)</v>
      </c>
      <c r="C367" s="73" t="str">
        <f>IFERROR(__xludf.DUMMYFUNCTION("""COMPUTED_VALUE"""),"(2.43B)")</f>
        <v>(2.43B)</v>
      </c>
      <c r="D367" s="73" t="str">
        <f>IFERROR(__xludf.DUMMYFUNCTION("""COMPUTED_VALUE"""),"(2.34B)")</f>
        <v>(2.34B)</v>
      </c>
      <c r="E367" s="73" t="str">
        <f>IFERROR(__xludf.DUMMYFUNCTION("""COMPUTED_VALUE"""),"(2.86B)")</f>
        <v>(2.86B)</v>
      </c>
      <c r="F367" s="73" t="str">
        <f>IFERROR(__xludf.DUMMYFUNCTION("""COMPUTED_VALUE"""),"(2.68B)")</f>
        <v>(2.68B)</v>
      </c>
      <c r="G367" s="73"/>
    </row>
    <row r="368">
      <c r="A368" s="73" t="str">
        <f>IFERROR(__xludf.DUMMYFUNCTION("""COMPUTED_VALUE"""),"Unrealized Gain/Loss Marketable Securities
Unrealized Gain/Loss Marketable Securities")</f>
        <v>Unrealized Gain/Loss Marketable Securities
Unrealized Gain/Loss Marketable Securities</v>
      </c>
      <c r="B368" s="73" t="str">
        <f>IFERROR(__xludf.DUMMYFUNCTION("""COMPUTED_VALUE"""),"-")</f>
        <v>-</v>
      </c>
      <c r="C368" s="73" t="str">
        <f>IFERROR(__xludf.DUMMYFUNCTION("""COMPUTED_VALUE"""),"-")</f>
        <v>-</v>
      </c>
      <c r="D368" s="73" t="str">
        <f>IFERROR(__xludf.DUMMYFUNCTION("""COMPUTED_VALUE"""),"-")</f>
        <v>-</v>
      </c>
      <c r="E368" s="73" t="str">
        <f>IFERROR(__xludf.DUMMYFUNCTION("""COMPUTED_VALUE"""),"-")</f>
        <v>-</v>
      </c>
      <c r="F368" s="73" t="str">
        <f>IFERROR(__xludf.DUMMYFUNCTION("""COMPUTED_VALUE"""),"-")</f>
        <v>-</v>
      </c>
      <c r="G368" s="73"/>
    </row>
    <row r="369">
      <c r="A369" s="73" t="str">
        <f>IFERROR(__xludf.DUMMYFUNCTION("""COMPUTED_VALUE"""),"Revaluation Reserves
Revaluation Reserves")</f>
        <v>Revaluation Reserves
Revaluation Reserves</v>
      </c>
      <c r="B369" s="73" t="str">
        <f>IFERROR(__xludf.DUMMYFUNCTION("""COMPUTED_VALUE"""),"-")</f>
        <v>-</v>
      </c>
      <c r="C369" s="73" t="str">
        <f>IFERROR(__xludf.DUMMYFUNCTION("""COMPUTED_VALUE"""),"-")</f>
        <v>-</v>
      </c>
      <c r="D369" s="73" t="str">
        <f>IFERROR(__xludf.DUMMYFUNCTION("""COMPUTED_VALUE"""),"-")</f>
        <v>-</v>
      </c>
      <c r="E369" s="73" t="str">
        <f>IFERROR(__xludf.DUMMYFUNCTION("""COMPUTED_VALUE"""),"-")</f>
        <v>-</v>
      </c>
      <c r="F369" s="73" t="str">
        <f>IFERROR(__xludf.DUMMYFUNCTION("""COMPUTED_VALUE"""),"-")</f>
        <v>-</v>
      </c>
      <c r="G369" s="73"/>
    </row>
    <row r="370">
      <c r="A370" s="73" t="str">
        <f>IFERROR(__xludf.DUMMYFUNCTION("""COMPUTED_VALUE"""),"Treasury Stock
Treasury Stock")</f>
        <v>Treasury Stock
Treasury Stock</v>
      </c>
      <c r="B370" s="73" t="str">
        <f>IFERROR(__xludf.DUMMYFUNCTION("""COMPUTED_VALUE"""),"(57.11B)")</f>
        <v>(57.11B)</v>
      </c>
      <c r="C370" s="73" t="str">
        <f>IFERROR(__xludf.DUMMYFUNCTION("""COMPUTED_VALUE"""),"(56.49B)")</f>
        <v>(56.49B)</v>
      </c>
      <c r="D370" s="73" t="str">
        <f>IFERROR(__xludf.DUMMYFUNCTION("""COMPUTED_VALUE"""),"(57.45B)")</f>
        <v>(57.45B)</v>
      </c>
      <c r="E370" s="73" t="str">
        <f>IFERROR(__xludf.DUMMYFUNCTION("""COMPUTED_VALUE"""),"(58.3B)")</f>
        <v>(58.3B)</v>
      </c>
      <c r="F370" s="73" t="str">
        <f>IFERROR(__xludf.DUMMYFUNCTION("""COMPUTED_VALUE"""),"(63B)")</f>
        <v>(63B)</v>
      </c>
      <c r="G370" s="73"/>
    </row>
    <row r="371">
      <c r="A371" s="73" t="str">
        <f>IFERROR(__xludf.DUMMYFUNCTION("""COMPUTED_VALUE"""),"Total Shareholders' Equity
Total Shareholders' Equity")</f>
        <v>Total Shareholders' Equity
Total Shareholders' Equity</v>
      </c>
      <c r="B371" s="73" t="str">
        <f>IFERROR(__xludf.DUMMYFUNCTION("""COMPUTED_VALUE"""),"38.18B")</f>
        <v>38.18B</v>
      </c>
      <c r="C371" s="73" t="str">
        <f>IFERROR(__xludf.DUMMYFUNCTION("""COMPUTED_VALUE"""),"45.99B")</f>
        <v>45.99B</v>
      </c>
      <c r="D371" s="73" t="str">
        <f>IFERROR(__xludf.DUMMYFUNCTION("""COMPUTED_VALUE"""),"37.58B")</f>
        <v>37.58B</v>
      </c>
      <c r="E371" s="73" t="str">
        <f>IFERROR(__xludf.DUMMYFUNCTION("""COMPUTED_VALUE"""),"46.31B")</f>
        <v>46.31B</v>
      </c>
      <c r="F371" s="73" t="str">
        <f>IFERROR(__xludf.DUMMYFUNCTION("""COMPUTED_VALUE"""),"52.61B")</f>
        <v>52.61B</v>
      </c>
      <c r="G371" s="73"/>
    </row>
    <row r="372">
      <c r="A372" s="73" t="str">
        <f>IFERROR(__xludf.DUMMYFUNCTION("""COMPUTED_VALUE"""),"Total Shareholders' Equity / Total Assets
Total Shareholders' Equity / Total Assets")</f>
        <v>Total Shareholders' Equity / Total Assets
Total Shareholders' Equity / Total Assets</v>
      </c>
      <c r="B372" s="72">
        <f>IFERROR(__xludf.DUMMYFUNCTION("""COMPUTED_VALUE"""),0.3613)</f>
        <v>0.3613</v>
      </c>
      <c r="C372" s="72">
        <f>IFERROR(__xludf.DUMMYFUNCTION("""COMPUTED_VALUE"""),0.4213)</f>
        <v>0.4213</v>
      </c>
      <c r="D372" s="72">
        <f>IFERROR(__xludf.DUMMYFUNCTION("""COMPUTED_VALUE"""),0.3523)</f>
        <v>0.3523</v>
      </c>
      <c r="E372" s="72">
        <f>IFERROR(__xludf.DUMMYFUNCTION("""COMPUTED_VALUE"""),0.3955)</f>
        <v>0.3955</v>
      </c>
      <c r="F372" s="72">
        <f>IFERROR(__xludf.DUMMYFUNCTION("""COMPUTED_VALUE"""),0.3844)</f>
        <v>0.3844</v>
      </c>
      <c r="G372" s="73"/>
    </row>
    <row r="373">
      <c r="A373" s="73" t="str">
        <f>IFERROR(__xludf.DUMMYFUNCTION("""COMPUTED_VALUE"""),"Accumulated Minority Interest
Accumulated Minority Interest")</f>
        <v>Accumulated Minority Interest
Accumulated Minority Interest</v>
      </c>
      <c r="B373" s="73" t="str">
        <f>IFERROR(__xludf.DUMMYFUNCTION("""COMPUTED_VALUE"""),"73M")</f>
        <v>73M</v>
      </c>
      <c r="C373" s="73" t="str">
        <f>IFERROR(__xludf.DUMMYFUNCTION("""COMPUTED_VALUE"""),"67M")</f>
        <v>67M</v>
      </c>
      <c r="D373" s="73" t="str">
        <f>IFERROR(__xludf.DUMMYFUNCTION("""COMPUTED_VALUE"""),"54M")</f>
        <v>54M</v>
      </c>
      <c r="E373" s="73" t="str">
        <f>IFERROR(__xludf.DUMMYFUNCTION("""COMPUTED_VALUE"""),"59M")</f>
        <v>59M</v>
      </c>
      <c r="F373" s="73" t="str">
        <f>IFERROR(__xludf.DUMMYFUNCTION("""COMPUTED_VALUE"""),"56M")</f>
        <v>56M</v>
      </c>
      <c r="G373" s="73"/>
    </row>
    <row r="374">
      <c r="A374" s="73" t="str">
        <f>IFERROR(__xludf.DUMMYFUNCTION("""COMPUTED_VALUE"""),"Total Equity
Total Equity")</f>
        <v>Total Equity
Total Equity</v>
      </c>
      <c r="B374" s="73" t="str">
        <f>IFERROR(__xludf.DUMMYFUNCTION("""COMPUTED_VALUE"""),"38.26B")</f>
        <v>38.26B</v>
      </c>
      <c r="C374" s="73" t="str">
        <f>IFERROR(__xludf.DUMMYFUNCTION("""COMPUTED_VALUE"""),"46.06B")</f>
        <v>46.06B</v>
      </c>
      <c r="D374" s="73" t="str">
        <f>IFERROR(__xludf.DUMMYFUNCTION("""COMPUTED_VALUE"""),"37.64B")</f>
        <v>37.64B</v>
      </c>
      <c r="E374" s="73" t="str">
        <f>IFERROR(__xludf.DUMMYFUNCTION("""COMPUTED_VALUE"""),"46.37B")</f>
        <v>46.37B</v>
      </c>
      <c r="F374" s="73" t="str">
        <f>IFERROR(__xludf.DUMMYFUNCTION("""COMPUTED_VALUE"""),"52.66B")</f>
        <v>52.66B</v>
      </c>
      <c r="G374" s="73"/>
    </row>
    <row r="375">
      <c r="A375" s="73" t="str">
        <f>IFERROR(__xludf.DUMMYFUNCTION("""COMPUTED_VALUE"""),"Liabilities &amp; Shareholders' Equity
Liabilities &amp; Shareholders' Equity")</f>
        <v>Liabilities &amp; Shareholders' Equity
Liabilities &amp; Shareholders' Equity</v>
      </c>
      <c r="B375" s="73" t="str">
        <f>IFERROR(__xludf.DUMMYFUNCTION("""COMPUTED_VALUE"""),"105.69B")</f>
        <v>105.69B</v>
      </c>
      <c r="C375" s="73" t="str">
        <f>IFERROR(__xludf.DUMMYFUNCTION("""COMPUTED_VALUE"""),"109.16B")</f>
        <v>109.16B</v>
      </c>
      <c r="D375" s="73" t="str">
        <f>IFERROR(__xludf.DUMMYFUNCTION("""COMPUTED_VALUE"""),"106.68B")</f>
        <v>106.68B</v>
      </c>
      <c r="E375" s="73" t="str">
        <f>IFERROR(__xludf.DUMMYFUNCTION("""COMPUTED_VALUE"""),"117.11B")</f>
        <v>117.11B</v>
      </c>
      <c r="F375" s="73" t="str">
        <f>IFERROR(__xludf.DUMMYFUNCTION("""COMPUTED_VALUE"""),"136.87B")</f>
        <v>136.87B</v>
      </c>
      <c r="G375" s="73"/>
    </row>
    <row r="379">
      <c r="A379" s="73" t="str">
        <f>IFERROR(__xludf.DUMMYFUNCTION("IMPORTHTML(CONCAT(CONCAT(""https://www.marketwatch.com/investing/stock/"",'Income Statement'!D1),""/financials/cash-flow""),""table"",5)
"),"Item
Item")</f>
        <v>Item
Item</v>
      </c>
      <c r="B379" s="73">
        <f>IFERROR(__xludf.DUMMYFUNCTION("""COMPUTED_VALUE"""),2021.0)</f>
        <v>2021</v>
      </c>
      <c r="C379" s="73">
        <f>IFERROR(__xludf.DUMMYFUNCTION("""COMPUTED_VALUE"""),2022.0)</f>
        <v>2022</v>
      </c>
      <c r="D379" s="73">
        <f>IFERROR(__xludf.DUMMYFUNCTION("""COMPUTED_VALUE"""),2023.0)</f>
        <v>2023</v>
      </c>
      <c r="E379" s="73">
        <f>IFERROR(__xludf.DUMMYFUNCTION("""COMPUTED_VALUE"""),2024.0)</f>
        <v>2024</v>
      </c>
      <c r="F379" s="73">
        <f>IFERROR(__xludf.DUMMYFUNCTION("""COMPUTED_VALUE"""),2025.0)</f>
        <v>2025</v>
      </c>
      <c r="G379" s="73" t="str">
        <f>IFERROR(__xludf.DUMMYFUNCTION("""COMPUTED_VALUE"""),"5-year trend")</f>
        <v>5-year trend</v>
      </c>
    </row>
    <row r="380">
      <c r="A380" s="73" t="str">
        <f>IFERROR(__xludf.DUMMYFUNCTION("""COMPUTED_VALUE"""),"Capital Expenditures
Capital Expenditures")</f>
        <v>Capital Expenditures
Capital Expenditures</v>
      </c>
      <c r="B380" s="73" t="str">
        <f>IFERROR(__xludf.DUMMYFUNCTION("""COMPUTED_VALUE"""),"(4.45B)")</f>
        <v>(4.45B)</v>
      </c>
      <c r="C380" s="73" t="str">
        <f>IFERROR(__xludf.DUMMYFUNCTION("""COMPUTED_VALUE"""),"(4.39B)")</f>
        <v>(4.39B)</v>
      </c>
      <c r="D380" s="73" t="str">
        <f>IFERROR(__xludf.DUMMYFUNCTION("""COMPUTED_VALUE"""),"(3.86B)")</f>
        <v>(3.86B)</v>
      </c>
      <c r="E380" s="73" t="str">
        <f>IFERROR(__xludf.DUMMYFUNCTION("""COMPUTED_VALUE"""),"(3.37B)")</f>
        <v>(3.37B)</v>
      </c>
      <c r="F380" s="73" t="str">
        <f>IFERROR(__xludf.DUMMYFUNCTION("""COMPUTED_VALUE"""),"(4.11B)")</f>
        <v>(4.11B)</v>
      </c>
      <c r="G380" s="73"/>
    </row>
    <row r="381">
      <c r="A381" s="73" t="str">
        <f>IFERROR(__xludf.DUMMYFUNCTION("""COMPUTED_VALUE"""),"Capital Expenditures Growth
Capital Expenditures Growth")</f>
        <v>Capital Expenditures Growth
Capital Expenditures Growth</v>
      </c>
      <c r="B381" s="73" t="str">
        <f>IFERROR(__xludf.DUMMYFUNCTION("""COMPUTED_VALUE"""),"-")</f>
        <v>-</v>
      </c>
      <c r="C381" s="72">
        <f>IFERROR(__xludf.DUMMYFUNCTION("""COMPUTED_VALUE"""),0.0135)</f>
        <v>0.0135</v>
      </c>
      <c r="D381" s="72">
        <f>IFERROR(__xludf.DUMMYFUNCTION("""COMPUTED_VALUE"""),0.1196)</f>
        <v>0.1196</v>
      </c>
      <c r="E381" s="72">
        <f>IFERROR(__xludf.DUMMYFUNCTION("""COMPUTED_VALUE"""),0.1271)</f>
        <v>0.1271</v>
      </c>
      <c r="F381" s="72">
        <f>IFERROR(__xludf.DUMMYFUNCTION("""COMPUTED_VALUE"""),-0.2195)</f>
        <v>-0.2195</v>
      </c>
      <c r="G381" s="73"/>
    </row>
    <row r="382">
      <c r="A382" s="73" t="str">
        <f>IFERROR(__xludf.DUMMYFUNCTION("""COMPUTED_VALUE"""),"Capital Expenditures / Sales
Capital Expenditures / Sales")</f>
        <v>Capital Expenditures / Sales
Capital Expenditures / Sales</v>
      </c>
      <c r="B382" s="72">
        <f>IFERROR(__xludf.DUMMYFUNCTION("""COMPUTED_VALUE"""),-0.0909)</f>
        <v>-0.0909</v>
      </c>
      <c r="C382" s="72">
        <f>IFERROR(__xludf.DUMMYFUNCTION("""COMPUTED_VALUE"""),-0.075)</f>
        <v>-0.075</v>
      </c>
      <c r="D382" s="72">
        <f>IFERROR(__xludf.DUMMYFUNCTION("""COMPUTED_VALUE"""),-0.0645)</f>
        <v>-0.0645</v>
      </c>
      <c r="E382" s="72">
        <f>IFERROR(__xludf.DUMMYFUNCTION("""COMPUTED_VALUE"""),-0.0527)</f>
        <v>-0.0527</v>
      </c>
      <c r="F382" s="72">
        <f>IFERROR(__xludf.DUMMYFUNCTION("""COMPUTED_VALUE"""),-0.0633)</f>
        <v>-0.0633</v>
      </c>
      <c r="G382" s="73"/>
    </row>
    <row r="383">
      <c r="A383" s="73" t="str">
        <f>IFERROR(__xludf.DUMMYFUNCTION("""COMPUTED_VALUE"""),"Capital Expenditures (Fixed Assets)
Capital Expenditures (Fixed Assets)")</f>
        <v>Capital Expenditures (Fixed Assets)
Capital Expenditures (Fixed Assets)</v>
      </c>
      <c r="B383" s="73" t="str">
        <f>IFERROR(__xludf.DUMMYFUNCTION("""COMPUTED_VALUE"""),"(4.45B)")</f>
        <v>(4.45B)</v>
      </c>
      <c r="C383" s="73" t="str">
        <f>IFERROR(__xludf.DUMMYFUNCTION("""COMPUTED_VALUE"""),"(4.39B)")</f>
        <v>(4.39B)</v>
      </c>
      <c r="D383" s="73" t="str">
        <f>IFERROR(__xludf.DUMMYFUNCTION("""COMPUTED_VALUE"""),"(3.86B)")</f>
        <v>(3.86B)</v>
      </c>
      <c r="E383" s="73" t="str">
        <f>IFERROR(__xludf.DUMMYFUNCTION("""COMPUTED_VALUE"""),"(3.37B)")</f>
        <v>(3.37B)</v>
      </c>
      <c r="F383" s="73" t="str">
        <f>IFERROR(__xludf.DUMMYFUNCTION("""COMPUTED_VALUE"""),"(4.11B)")</f>
        <v>(4.11B)</v>
      </c>
      <c r="G383" s="73"/>
    </row>
    <row r="384">
      <c r="A384" s="73" t="str">
        <f>IFERROR(__xludf.DUMMYFUNCTION("""COMPUTED_VALUE"""),"Capital Expenditures (Other Assets)
Capital Expenditures (Other Assets)")</f>
        <v>Capital Expenditures (Other Assets)
Capital Expenditures (Other Assets)</v>
      </c>
      <c r="B384" s="73" t="str">
        <f>IFERROR(__xludf.DUMMYFUNCTION("""COMPUTED_VALUE"""),"-")</f>
        <v>-</v>
      </c>
      <c r="C384" s="73" t="str">
        <f>IFERROR(__xludf.DUMMYFUNCTION("""COMPUTED_VALUE"""),"-")</f>
        <v>-</v>
      </c>
      <c r="D384" s="73" t="str">
        <f>IFERROR(__xludf.DUMMYFUNCTION("""COMPUTED_VALUE"""),"-")</f>
        <v>-</v>
      </c>
      <c r="E384" s="73" t="str">
        <f>IFERROR(__xludf.DUMMYFUNCTION("""COMPUTED_VALUE"""),"-")</f>
        <v>-</v>
      </c>
      <c r="F384" s="73" t="str">
        <f>IFERROR(__xludf.DUMMYFUNCTION("""COMPUTED_VALUE"""),"-")</f>
        <v>-</v>
      </c>
      <c r="G384" s="73"/>
    </row>
    <row r="385">
      <c r="A385" s="73" t="str">
        <f>IFERROR(__xludf.DUMMYFUNCTION("""COMPUTED_VALUE"""),"Net Assets from Acquisitions
Net Assets from Acquisitions")</f>
        <v>Net Assets from Acquisitions
Net Assets from Acquisitions</v>
      </c>
      <c r="B385" s="73" t="str">
        <f>IFERROR(__xludf.DUMMYFUNCTION("""COMPUTED_VALUE"""),"(12.91B)")</f>
        <v>(12.91B)</v>
      </c>
      <c r="C385" s="73" t="str">
        <f>IFERROR(__xludf.DUMMYFUNCTION("""COMPUTED_VALUE"""),"(121M)")</f>
        <v>(121M)</v>
      </c>
      <c r="D385" s="73" t="str">
        <f>IFERROR(__xludf.DUMMYFUNCTION("""COMPUTED_VALUE"""),"(12.03B)")</f>
        <v>(12.03B)</v>
      </c>
      <c r="E385" s="73" t="str">
        <f>IFERROR(__xludf.DUMMYFUNCTION("""COMPUTED_VALUE"""),"(4.09B)")</f>
        <v>(4.09B)</v>
      </c>
      <c r="F385" s="73" t="str">
        <f>IFERROR(__xludf.DUMMYFUNCTION("""COMPUTED_VALUE"""),"(10.04B)")</f>
        <v>(10.04B)</v>
      </c>
      <c r="G385" s="73"/>
    </row>
    <row r="386">
      <c r="A386" s="73" t="str">
        <f>IFERROR(__xludf.DUMMYFUNCTION("""COMPUTED_VALUE"""),"Sale of Fixed Assets &amp; Businesses
Sale of Fixed Assets &amp; Businesses")</f>
        <v>Sale of Fixed Assets &amp; Businesses
Sale of Fixed Assets &amp; Businesses</v>
      </c>
      <c r="B386" s="73" t="str">
        <f>IFERROR(__xludf.DUMMYFUNCTION("""COMPUTED_VALUE"""),"-")</f>
        <v>-</v>
      </c>
      <c r="C386" s="73" t="str">
        <f>IFERROR(__xludf.DUMMYFUNCTION("""COMPUTED_VALUE"""),"-")</f>
        <v>-</v>
      </c>
      <c r="D386" s="73" t="str">
        <f>IFERROR(__xludf.DUMMYFUNCTION("""COMPUTED_VALUE"""),"-")</f>
        <v>-</v>
      </c>
      <c r="E386" s="73" t="str">
        <f>IFERROR(__xludf.DUMMYFUNCTION("""COMPUTED_VALUE"""),"-")</f>
        <v>-</v>
      </c>
      <c r="F386" s="73" t="str">
        <f>IFERROR(__xludf.DUMMYFUNCTION("""COMPUTED_VALUE"""),"-")</f>
        <v>-</v>
      </c>
      <c r="G386" s="73"/>
    </row>
    <row r="387">
      <c r="A387" s="73" t="str">
        <f>IFERROR(__xludf.DUMMYFUNCTION("""COMPUTED_VALUE"""),"Purchase/Sale of Investments
Purchase/Sale of Investments")</f>
        <v>Purchase/Sale of Investments
Purchase/Sale of Investments</v>
      </c>
      <c r="B387" s="73" t="str">
        <f>IFERROR(__xludf.DUMMYFUNCTION("""COMPUTED_VALUE"""),"1.03B")</f>
        <v>1.03B</v>
      </c>
      <c r="C387" s="73" t="str">
        <f>IFERROR(__xludf.DUMMYFUNCTION("""COMPUTED_VALUE"""),"(483M)")</f>
        <v>(483M)</v>
      </c>
      <c r="D387" s="73" t="str">
        <f>IFERROR(__xludf.DUMMYFUNCTION("""COMPUTED_VALUE"""),"703M")</f>
        <v>703M</v>
      </c>
      <c r="E387" s="73" t="str">
        <f>IFERROR(__xludf.DUMMYFUNCTION("""COMPUTED_VALUE"""),"(142M)")</f>
        <v>(142M)</v>
      </c>
      <c r="F387" s="73" t="str">
        <f>IFERROR(__xludf.DUMMYFUNCTION("""COMPUTED_VALUE"""),"471M")</f>
        <v>471M</v>
      </c>
      <c r="G387" s="73"/>
    </row>
    <row r="388">
      <c r="A388" s="73" t="str">
        <f>IFERROR(__xludf.DUMMYFUNCTION("""COMPUTED_VALUE"""),"Purchase of Investments
Purchase of Investments")</f>
        <v>Purchase of Investments
Purchase of Investments</v>
      </c>
      <c r="B388" s="73" t="str">
        <f>IFERROR(__xludf.DUMMYFUNCTION("""COMPUTED_VALUE"""),"(1M)")</f>
        <v>(1M)</v>
      </c>
      <c r="C388" s="73" t="str">
        <f>IFERROR(__xludf.DUMMYFUNCTION("""COMPUTED_VALUE"""),"(1.2B)")</f>
        <v>(1.2B)</v>
      </c>
      <c r="D388" s="73" t="str">
        <f>IFERROR(__xludf.DUMMYFUNCTION("""COMPUTED_VALUE"""),"(955M)")</f>
        <v>(955M)</v>
      </c>
      <c r="E388" s="73" t="str">
        <f>IFERROR(__xludf.DUMMYFUNCTION("""COMPUTED_VALUE"""),"(519M)")</f>
        <v>(519M)</v>
      </c>
      <c r="F388" s="73" t="str">
        <f>IFERROR(__xludf.DUMMYFUNCTION("""COMPUTED_VALUE"""),"(1.21B)")</f>
        <v>(1.21B)</v>
      </c>
      <c r="G388" s="73"/>
    </row>
    <row r="389">
      <c r="A389" s="73" t="str">
        <f>IFERROR(__xludf.DUMMYFUNCTION("""COMPUTED_VALUE"""),"Sale/Maturity of Investments
Sale/Maturity of Investments")</f>
        <v>Sale/Maturity of Investments
Sale/Maturity of Investments</v>
      </c>
      <c r="B389" s="73" t="str">
        <f>IFERROR(__xludf.DUMMYFUNCTION("""COMPUTED_VALUE"""),"1.03B")</f>
        <v>1.03B</v>
      </c>
      <c r="C389" s="73" t="str">
        <f>IFERROR(__xludf.DUMMYFUNCTION("""COMPUTED_VALUE"""),"721M")</f>
        <v>721M</v>
      </c>
      <c r="D389" s="73" t="str">
        <f>IFERROR(__xludf.DUMMYFUNCTION("""COMPUTED_VALUE"""),"1.66B")</f>
        <v>1.66B</v>
      </c>
      <c r="E389" s="73" t="str">
        <f>IFERROR(__xludf.DUMMYFUNCTION("""COMPUTED_VALUE"""),"377M")</f>
        <v>377M</v>
      </c>
      <c r="F389" s="73" t="str">
        <f>IFERROR(__xludf.DUMMYFUNCTION("""COMPUTED_VALUE"""),"1.68B")</f>
        <v>1.68B</v>
      </c>
      <c r="G389" s="73"/>
    </row>
    <row r="390">
      <c r="A390" s="73" t="str">
        <f>IFERROR(__xludf.DUMMYFUNCTION("""COMPUTED_VALUE"""),"Other Uses
Other Uses")</f>
        <v>Other Uses
Other Uses</v>
      </c>
      <c r="B390" s="73" t="str">
        <f>IFERROR(__xludf.DUMMYFUNCTION("""COMPUTED_VALUE"""),"(225M)")</f>
        <v>(225M)</v>
      </c>
      <c r="C390" s="73" t="str">
        <f>IFERROR(__xludf.DUMMYFUNCTION("""COMPUTED_VALUE"""),"-")</f>
        <v>-</v>
      </c>
      <c r="D390" s="73" t="str">
        <f>IFERROR(__xludf.DUMMYFUNCTION("""COMPUTED_VALUE"""),"(36M)")</f>
        <v>(36M)</v>
      </c>
      <c r="E390" s="73" t="str">
        <f>IFERROR(__xludf.DUMMYFUNCTION("""COMPUTED_VALUE"""),"(127M)")</f>
        <v>(127M)</v>
      </c>
      <c r="F390" s="73" t="str">
        <f>IFERROR(__xludf.DUMMYFUNCTION("""COMPUTED_VALUE"""),"(58M)")</f>
        <v>(58M)</v>
      </c>
      <c r="G390" s="73"/>
    </row>
    <row r="391">
      <c r="A391" s="73" t="str">
        <f>IFERROR(__xludf.DUMMYFUNCTION("""COMPUTED_VALUE"""),"Other Sources
Other Sources")</f>
        <v>Other Sources
Other Sources</v>
      </c>
      <c r="B391" s="73" t="str">
        <f>IFERROR(__xludf.DUMMYFUNCTION("""COMPUTED_VALUE"""),"9B")</f>
        <v>9B</v>
      </c>
      <c r="C391" s="73" t="str">
        <f>IFERROR(__xludf.DUMMYFUNCTION("""COMPUTED_VALUE"""),"-")</f>
        <v>-</v>
      </c>
      <c r="D391" s="73" t="str">
        <f>IFERROR(__xludf.DUMMYFUNCTION("""COMPUTED_VALUE"""),"-")</f>
        <v>-</v>
      </c>
      <c r="E391" s="73" t="str">
        <f>IFERROR(__xludf.DUMMYFUNCTION("""COMPUTED_VALUE"""),"-")</f>
        <v>-</v>
      </c>
      <c r="F391" s="73" t="str">
        <f>IFERROR(__xludf.DUMMYFUNCTION("""COMPUTED_VALUE"""),"-")</f>
        <v>-</v>
      </c>
      <c r="G391" s="73"/>
    </row>
    <row r="392">
      <c r="A392" s="73" t="str">
        <f>IFERROR(__xludf.DUMMYFUNCTION("""COMPUTED_VALUE"""),"Net Investing Cash Flow
Net Investing Cash Flow")</f>
        <v>Net Investing Cash Flow
Net Investing Cash Flow</v>
      </c>
      <c r="B392" s="73" t="str">
        <f>IFERROR(__xludf.DUMMYFUNCTION("""COMPUTED_VALUE"""),"(16.56B)")</f>
        <v>(16.56B)</v>
      </c>
      <c r="C392" s="73" t="str">
        <f>IFERROR(__xludf.DUMMYFUNCTION("""COMPUTED_VALUE"""),"(4.96B)")</f>
        <v>(4.96B)</v>
      </c>
      <c r="D392" s="73" t="str">
        <f>IFERROR(__xludf.DUMMYFUNCTION("""COMPUTED_VALUE"""),"(14.08B)")</f>
        <v>(14.08B)</v>
      </c>
      <c r="E392" s="73" t="str">
        <f>IFERROR(__xludf.DUMMYFUNCTION("""COMPUTED_VALUE"""),"(7.73B)")</f>
        <v>(7.73B)</v>
      </c>
      <c r="F392" s="73" t="str">
        <f>IFERROR(__xludf.DUMMYFUNCTION("""COMPUTED_VALUE"""),"(13.74B)")</f>
        <v>(13.74B)</v>
      </c>
      <c r="G392" s="73"/>
    </row>
    <row r="393">
      <c r="A393" s="73" t="str">
        <f>IFERROR(__xludf.DUMMYFUNCTION("""COMPUTED_VALUE"""),"Net Investing Cash Flow Growth
Net Investing Cash Flow Growth")</f>
        <v>Net Investing Cash Flow Growth
Net Investing Cash Flow Growth</v>
      </c>
      <c r="B393" s="73" t="str">
        <f>IFERROR(__xludf.DUMMYFUNCTION("""COMPUTED_VALUE"""),"-")</f>
        <v>-</v>
      </c>
      <c r="C393" s="72">
        <f>IFERROR(__xludf.DUMMYFUNCTION("""COMPUTED_VALUE"""),0.7004)</f>
        <v>0.7004</v>
      </c>
      <c r="D393" s="72">
        <f>IFERROR(__xludf.DUMMYFUNCTION("""COMPUTED_VALUE"""),-1.8393)</f>
        <v>-1.8393</v>
      </c>
      <c r="E393" s="72">
        <f>IFERROR(__xludf.DUMMYFUNCTION("""COMPUTED_VALUE"""),0.4508)</f>
        <v>0.4508</v>
      </c>
      <c r="F393" s="72">
        <f>IFERROR(__xludf.DUMMYFUNCTION("""COMPUTED_VALUE"""),-0.7767)</f>
        <v>-0.7767</v>
      </c>
      <c r="G393" s="73"/>
    </row>
    <row r="394">
      <c r="A394" s="73" t="str">
        <f>IFERROR(__xludf.DUMMYFUNCTION("""COMPUTED_VALUE"""),"Net Investing Cash Flow / Sales
Net Investing Cash Flow / Sales")</f>
        <v>Net Investing Cash Flow / Sales
Net Investing Cash Flow / Sales</v>
      </c>
      <c r="B394" s="72">
        <f>IFERROR(__xludf.DUMMYFUNCTION("""COMPUTED_VALUE"""),-0.3385)</f>
        <v>-0.3385</v>
      </c>
      <c r="C394" s="72">
        <f>IFERROR(__xludf.DUMMYFUNCTION("""COMPUTED_VALUE"""),-0.0848)</f>
        <v>-0.0848</v>
      </c>
      <c r="D394" s="72">
        <f>IFERROR(__xludf.DUMMYFUNCTION("""COMPUTED_VALUE"""),-0.2352)</f>
        <v>-0.2352</v>
      </c>
      <c r="E394" s="72">
        <f>IFERROR(__xludf.DUMMYFUNCTION("""COMPUTED_VALUE"""),-0.1209)</f>
        <v>-0.1209</v>
      </c>
      <c r="F394" s="72">
        <f>IFERROR(__xludf.DUMMYFUNCTION("""COMPUTED_VALUE"""),-0.2116)</f>
        <v>-0.2116</v>
      </c>
      <c r="G394" s="73"/>
    </row>
    <row r="398">
      <c r="A398" s="73" t="str">
        <f>IFERROR(__xludf.DUMMYFUNCTION("IMPORTHTML(""https://www.marketwatch.com/investing/bond/tmubmusd10y?countrycode=bx"",""table"",2)
"),"Previous Close")</f>
        <v>Previous Close</v>
      </c>
      <c r="B398" s="21" t="s">
        <v>111</v>
      </c>
    </row>
    <row r="399">
      <c r="A399" s="72">
        <f>IFERROR(__xludf.DUMMYFUNCTION("""COMPUTED_VALUE"""),0.04469)</f>
        <v>0.04469</v>
      </c>
    </row>
  </sheetData>
  <drawing r:id="rId1"/>
</worksheet>
</file>