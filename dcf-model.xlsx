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Balance Sheet" sheetId="2" r:id="rId6"/>
    <sheet state="visible" name="Cash Flow" sheetId="3" r:id="rId7"/>
    <sheet state="visible" name="DCF" sheetId="4" r:id="rId8"/>
    <sheet state="visible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tc={34abede7-32f5-4da2-9596-804bf00b4bf7}</author>
    <author>tc={7ec384d1-d030-4f94-b46d-4cebdf7b5ac6}</author>
    <author>tc={bff89e38-3694-4352-bb8c-3b984c33e2a8}</author>
  </authors>
  <commentList>
    <comment authorId="0" xr:uid="{34abede7-32f5-4da2-9596-804bf00b4bf7}" ref="C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rate of USA GDP
</t>
      </text>
    </comment>
    <comment authorId="1" xr:uid="{7ec384d1-d030-4f94-b46d-4cebdf7b5ac6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Search the ticker of the stock you want, then find the forecast tab, then copy and write down the future estimated revenue in the table below at H8:K8.
</t>
      </text>
    </comment>
    <comment authorId="2" xr:uid="{bff89e38-3694-4352-bb8c-3b984c33e2a8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of USA GDP
</t>
      </text>
    </comment>
  </commentList>
</comments>
</file>

<file path=xl/sharedStrings.xml><?xml version="1.0" encoding="utf-8"?>
<sst xmlns="http://schemas.openxmlformats.org/spreadsheetml/2006/main" count="212" uniqueCount="120">
  <si>
    <t>Ticker Name:</t>
  </si>
  <si>
    <t>tsla</t>
  </si>
  <si>
    <t>Current Price</t>
  </si>
  <si>
    <t xml:space="preserve">%-change from implied </t>
  </si>
  <si>
    <t>Implied Share Value</t>
  </si>
  <si>
    <t>%-change (1 month)</t>
  </si>
  <si>
    <t>Chart (1 years)</t>
  </si>
  <si>
    <t>%-change (6 months)</t>
  </si>
  <si>
    <t>Chart (5 years)</t>
  </si>
  <si>
    <t>%-change (12 months)</t>
  </si>
  <si>
    <t>Income Statement</t>
  </si>
  <si>
    <t>FY</t>
  </si>
  <si>
    <t>Future FY</t>
  </si>
  <si>
    <t>Revenue</t>
  </si>
  <si>
    <t xml:space="preserve">Revenue Growth </t>
  </si>
  <si>
    <t>Cost of Sales</t>
  </si>
  <si>
    <t>Gross Profit</t>
  </si>
  <si>
    <t>Gross Profit Growth</t>
  </si>
  <si>
    <t>Selling, General &amp; Admin</t>
  </si>
  <si>
    <t>-</t>
  </si>
  <si>
    <t>Depreciation &amp; Amortization Expense</t>
  </si>
  <si>
    <t>Unusual Expense</t>
  </si>
  <si>
    <t>Operating Expenses</t>
  </si>
  <si>
    <t>Operating Expenses Growth</t>
  </si>
  <si>
    <t>Operating Income</t>
  </si>
  <si>
    <t>Operating Income Growth</t>
  </si>
  <si>
    <t>EBIT</t>
  </si>
  <si>
    <t>EBITDA</t>
  </si>
  <si>
    <t>EBITDA Growth</t>
  </si>
  <si>
    <t>EBITDA Margin</t>
  </si>
  <si>
    <t>Pretax Income</t>
  </si>
  <si>
    <t xml:space="preserve">Income Tax </t>
  </si>
  <si>
    <t>Net Income</t>
  </si>
  <si>
    <t>Net Income to Common</t>
  </si>
  <si>
    <t>Net Income Growth</t>
  </si>
  <si>
    <t>EPS (Diluted)</t>
  </si>
  <si>
    <t>EPS (Diluted) Growth</t>
  </si>
  <si>
    <t>Balance Sheet</t>
  </si>
  <si>
    <t>Cash Only</t>
  </si>
  <si>
    <t>Short-Term Investments</t>
  </si>
  <si>
    <t>Cash &amp; Short Term Invesments</t>
  </si>
  <si>
    <t>Cash &amp; Short Term Invesments Growth</t>
  </si>
  <si>
    <t>Finished Goods</t>
  </si>
  <si>
    <t>Work in Progress</t>
  </si>
  <si>
    <t>Raw Materials</t>
  </si>
  <si>
    <t>Inventories</t>
  </si>
  <si>
    <t>Accounts Receivables, Net</t>
  </si>
  <si>
    <t>Other Receivable</t>
  </si>
  <si>
    <t>Total Accounts Receivable</t>
  </si>
  <si>
    <t>Total Accounts Receivable Growth</t>
  </si>
  <si>
    <t>Other Current Assets</t>
  </si>
  <si>
    <t>Total Current Assets</t>
  </si>
  <si>
    <t>Total Current Assets Growth</t>
  </si>
  <si>
    <t>Property, Plant &amp; Equipment</t>
  </si>
  <si>
    <t>Accumulated Depreciation</t>
  </si>
  <si>
    <t>Net Property, Plant &amp; Equipment</t>
  </si>
  <si>
    <t>Intangible Assets</t>
  </si>
  <si>
    <t>Other Assets</t>
  </si>
  <si>
    <t>Total Assets</t>
  </si>
  <si>
    <t>Total Assets Growth</t>
  </si>
  <si>
    <t>Short Term Debt</t>
  </si>
  <si>
    <t>Current Portion of Long Term Debt</t>
  </si>
  <si>
    <t>ST Debt &amp; Current Portion LT Debt</t>
  </si>
  <si>
    <t>Net Income before Extraordinaries</t>
  </si>
  <si>
    <t>Depreciation, Depletion &amp; Amortization</t>
  </si>
  <si>
    <t>Net Operating Cash Flow</t>
  </si>
  <si>
    <t>Net Operating Cash Flow Growth</t>
  </si>
  <si>
    <t>Net Change in Cash</t>
  </si>
  <si>
    <t>Free Cash Flow</t>
  </si>
  <si>
    <t>Free Cash Flow Growth</t>
  </si>
  <si>
    <t>TradingView Revenue Estimates</t>
  </si>
  <si>
    <t>Discounted Cash Flow</t>
  </si>
  <si>
    <t>% growth</t>
  </si>
  <si>
    <t>% of sales</t>
  </si>
  <si>
    <t>Taxes</t>
  </si>
  <si>
    <t>% of EBIT</t>
  </si>
  <si>
    <t>EBIAT</t>
  </si>
  <si>
    <t>D&amp;A</t>
  </si>
  <si>
    <t>CapEx</t>
  </si>
  <si>
    <t>Changes in NWC</t>
  </si>
  <si>
    <t>Unlevered Free Cash Flow</t>
  </si>
  <si>
    <t>Discount Rate</t>
  </si>
  <si>
    <t>Discount Period</t>
  </si>
  <si>
    <t>Discount Factor</t>
  </si>
  <si>
    <t>Present Value of FCF</t>
  </si>
  <si>
    <t>Weighted Average Cost of Capital</t>
  </si>
  <si>
    <t>Equity Value</t>
  </si>
  <si>
    <t>% Equity</t>
  </si>
  <si>
    <t>Cost of Equity</t>
  </si>
  <si>
    <t>Risk Free Rate</t>
  </si>
  <si>
    <t>Beta</t>
  </si>
  <si>
    <t>Market Risk Premium</t>
  </si>
  <si>
    <t>Debt</t>
  </si>
  <si>
    <t>% Debt</t>
  </si>
  <si>
    <t>Cost of Debt</t>
  </si>
  <si>
    <t>Tax Rate</t>
  </si>
  <si>
    <t>Debt+Equity</t>
  </si>
  <si>
    <t>Terminal Value Calculation</t>
  </si>
  <si>
    <t>Terminal Growth Rate</t>
  </si>
  <si>
    <t>Terminal Value</t>
  </si>
  <si>
    <t>Present Value of Terminal Value</t>
  </si>
  <si>
    <t>Enterprise Value</t>
  </si>
  <si>
    <t>Implied Value per Share</t>
  </si>
  <si>
    <t>Cash + Short Term Investments</t>
  </si>
  <si>
    <t>Diluted Shares</t>
  </si>
  <si>
    <t xml:space="preserve"> </t>
  </si>
  <si>
    <t>Sensitivity Table</t>
  </si>
  <si>
    <t>Implied Share Price (USD)</t>
  </si>
  <si>
    <t>WACC</t>
  </si>
  <si>
    <t>GLITCH may occur where the data tables don't load</t>
  </si>
  <si>
    <t>Which will leave to a #DIV/0 error</t>
  </si>
  <si>
    <t>In this case, go to each cell N/A cell here, remove the number at the end of the equation, then click enter</t>
  </si>
  <si>
    <t>Then re-write that number again</t>
  </si>
  <si>
    <t>Repeat for all the cells which say N/A</t>
  </si>
  <si>
    <t>Monthly Return of stock</t>
  </si>
  <si>
    <t>price</t>
  </si>
  <si>
    <t>% return</t>
  </si>
  <si>
    <t>Monthly Return of market</t>
  </si>
  <si>
    <t>Selected</t>
  </si>
  <si>
    <t>10Y TREASURY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</si>
</sst>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999950]0.00,&quot;K&quot;;[&lt;999950000]0.00,,&quot;M&quot;;0.00,,,&quot;B&quot;"/>
    <numFmt numFmtId="165" formatCode="[&lt;999950]0&quot;K&quot;;[&lt;999950000]0,,&quot;M&quot;;0,,,&quot;B&quot;"/>
    <numFmt numFmtId="166" formatCode="mm/yyyy"/>
    <numFmt numFmtId="167" formatCode="&quot;$&quot;#,##0.00"/>
    <numFmt numFmtId="168" formatCode="m/yyyy"/>
  </numFmts>
  <fonts count="16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36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9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  <scheme val="minor"/>
    </font>
    <font>
      <color rgb="FF262626"/>
      <name val="Arial"/>
    </font>
    <font>
      <u/>
      <color rgb="FF0000FF"/>
    </font>
    <font>
      <b/>
      <sz val="15.0"/>
      <color theme="1"/>
      <name val="Arial"/>
      <scheme val="minor"/>
    </font>
    <font>
      <color rgb="FF0C0D0E"/>
      <name val="Ui-monospace"/>
    </font>
    <font>
      <sz val="10.0"/>
      <color theme="1"/>
      <name val="Arial"/>
      <scheme val="minor"/>
    </font>
    <font>
      <sz val="10.0"/>
      <color rgb="FF262626"/>
      <name val="Arial"/>
      <scheme val="minor"/>
    </font>
    <font>
      <sz val="11.0"/>
      <color rgb="FF26262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1E0F1"/>
        <bgColor rgb="FFD1E0F1"/>
      </patternFill>
    </fill>
    <fill>
      <patternFill patternType="solid">
        <fgColor rgb="FFFF0000"/>
        <bgColor rgb="FFFF0000"/>
      </patternFill>
    </fill>
  </fills>
  <borders count="3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E1E1E1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" fillId="2" fontId="4" numFmtId="0" xfId="0" applyAlignment="1" applyBorder="1" applyFont="1">
      <alignment readingOrder="0"/>
    </xf>
    <xf borderId="2" fillId="0" fontId="4" numFmtId="10" xfId="0" applyBorder="1" applyFont="1" applyNumberFormat="1"/>
    <xf borderId="1" fillId="2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6" fillId="2" fontId="4" numFmtId="0" xfId="0" applyAlignment="1" applyBorder="1" applyFont="1">
      <alignment horizontal="center" readingOrder="0"/>
    </xf>
    <xf borderId="7" fillId="0" fontId="6" numFmtId="0" xfId="0" applyBorder="1" applyFont="1"/>
    <xf borderId="8" fillId="2" fontId="4" numFmtId="0" xfId="0" applyAlignment="1" applyBorder="1" applyFont="1">
      <alignment readingOrder="0"/>
    </xf>
    <xf borderId="9" fillId="2" fontId="4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0" fillId="0" fontId="4" numFmtId="0" xfId="0" applyAlignment="1" applyFont="1">
      <alignment readingOrder="0"/>
    </xf>
    <xf borderId="11" fillId="0" fontId="4" numFmtId="0" xfId="0" applyAlignment="1" applyBorder="1" applyFont="1">
      <alignment readingOrder="0"/>
    </xf>
    <xf borderId="0" fillId="0" fontId="4" numFmtId="164" xfId="0" applyFont="1" applyNumberFormat="1"/>
    <xf borderId="12" fillId="0" fontId="4" numFmtId="164" xfId="0" applyBorder="1" applyFont="1" applyNumberFormat="1"/>
    <xf borderId="0" fillId="0" fontId="4" numFmtId="164" xfId="0" applyAlignment="1" applyFont="1" applyNumberFormat="1">
      <alignment horizontal="right"/>
    </xf>
    <xf borderId="12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11" fillId="0" fontId="7" numFmtId="0" xfId="0" applyAlignment="1" applyBorder="1" applyFont="1">
      <alignment readingOrder="0"/>
    </xf>
    <xf borderId="0" fillId="0" fontId="7" numFmtId="0" xfId="0" applyAlignment="1" applyFont="1">
      <alignment horizontal="right"/>
    </xf>
    <xf borderId="0" fillId="0" fontId="7" numFmtId="10" xfId="0" applyAlignment="1" applyFont="1" applyNumberFormat="1">
      <alignment horizontal="right"/>
    </xf>
    <xf borderId="12" fillId="0" fontId="7" numFmtId="10" xfId="0" applyAlignment="1" applyBorder="1" applyFont="1" applyNumberFormat="1">
      <alignment horizontal="right"/>
    </xf>
    <xf borderId="0" fillId="0" fontId="7" numFmtId="10" xfId="0" applyAlignment="1" applyFont="1" applyNumberFormat="1">
      <alignment horizontal="right" readingOrder="0"/>
    </xf>
    <xf borderId="12" fillId="0" fontId="7" numFmtId="10" xfId="0" applyAlignment="1" applyBorder="1" applyFont="1" applyNumberFormat="1">
      <alignment horizontal="right" readingOrder="0"/>
    </xf>
    <xf borderId="0" fillId="0" fontId="7" numFmtId="0" xfId="0" applyFont="1"/>
    <xf borderId="0" fillId="0" fontId="4" numFmtId="0" xfId="0" applyAlignment="1" applyFont="1">
      <alignment horizontal="right"/>
    </xf>
    <xf borderId="12" fillId="0" fontId="4" numFmtId="0" xfId="0" applyAlignment="1" applyBorder="1" applyFont="1">
      <alignment horizontal="right"/>
    </xf>
    <xf borderId="0" fillId="0" fontId="8" numFmtId="0" xfId="0" applyAlignment="1" applyFont="1">
      <alignment readingOrder="0"/>
    </xf>
    <xf borderId="13" fillId="0" fontId="8" numFmtId="0" xfId="0" applyAlignment="1" applyBorder="1" applyFont="1">
      <alignment readingOrder="0"/>
    </xf>
    <xf borderId="14" fillId="0" fontId="4" numFmtId="0" xfId="0" applyAlignment="1" applyBorder="1" applyFont="1">
      <alignment horizontal="right"/>
    </xf>
    <xf borderId="15" fillId="0" fontId="4" numFmtId="0" xfId="0" applyAlignment="1" applyBorder="1" applyFont="1">
      <alignment horizontal="right"/>
    </xf>
    <xf borderId="16" fillId="0" fontId="4" numFmtId="164" xfId="0" applyAlignment="1" applyBorder="1" applyFont="1" applyNumberFormat="1">
      <alignment horizontal="right" readingOrder="0"/>
    </xf>
    <xf borderId="14" fillId="0" fontId="4" numFmtId="164" xfId="0" applyAlignment="1" applyBorder="1" applyFont="1" applyNumberFormat="1">
      <alignment horizontal="right" readingOrder="0"/>
    </xf>
    <xf borderId="15" fillId="0" fontId="4" numFmtId="164" xfId="0" applyAlignment="1" applyBorder="1" applyFont="1" applyNumberFormat="1">
      <alignment horizontal="right" readingOrder="0"/>
    </xf>
    <xf borderId="17" fillId="0" fontId="7" numFmtId="10" xfId="0" applyAlignment="1" applyBorder="1" applyFont="1" applyNumberForma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 readingOrder="0"/>
    </xf>
    <xf borderId="12" fillId="0" fontId="4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  <xf borderId="11" fillId="0" fontId="9" numFmtId="0" xfId="0" applyAlignment="1" applyBorder="1" applyFont="1">
      <alignment readingOrder="0"/>
    </xf>
    <xf borderId="14" fillId="0" fontId="4" numFmtId="164" xfId="0" applyAlignment="1" applyBorder="1" applyFont="1" applyNumberFormat="1">
      <alignment horizontal="right"/>
    </xf>
    <xf borderId="15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18" fillId="0" fontId="7" numFmtId="0" xfId="0" applyAlignment="1" applyBorder="1" applyFont="1">
      <alignment readingOrder="0"/>
    </xf>
    <xf borderId="19" fillId="0" fontId="7" numFmtId="0" xfId="0" applyAlignment="1" applyBorder="1" applyFont="1">
      <alignment horizontal="right" readingOrder="0"/>
    </xf>
    <xf borderId="19" fillId="0" fontId="7" numFmtId="10" xfId="0" applyAlignment="1" applyBorder="1" applyFont="1" applyNumberFormat="1">
      <alignment horizontal="right"/>
    </xf>
    <xf borderId="20" fillId="0" fontId="7" numFmtId="10" xfId="0" applyAlignment="1" applyBorder="1" applyFont="1" applyNumberFormat="1">
      <alignment horizontal="right"/>
    </xf>
    <xf borderId="19" fillId="0" fontId="7" numFmtId="10" xfId="0" applyAlignment="1" applyBorder="1" applyFont="1" applyNumberFormat="1">
      <alignment horizontal="right" readingOrder="0"/>
    </xf>
    <xf borderId="20" fillId="0" fontId="7" numFmtId="10" xfId="0" applyAlignment="1" applyBorder="1" applyFont="1" applyNumberFormat="1">
      <alignment horizontal="right" readingOrder="0"/>
    </xf>
    <xf borderId="11" fillId="0" fontId="7" numFmtId="0" xfId="0" applyAlignment="1" applyBorder="1" applyFont="1">
      <alignment readingOrder="0"/>
    </xf>
    <xf borderId="0" fillId="0" fontId="7" numFmtId="164" xfId="0" applyAlignment="1" applyFont="1" applyNumberFormat="1">
      <alignment horizontal="right" readingOrder="0"/>
    </xf>
    <xf borderId="17" fillId="0" fontId="7" numFmtId="10" xfId="0" applyAlignment="1" applyBorder="1" applyFont="1" applyNumberFormat="1">
      <alignment horizontal="right"/>
    </xf>
    <xf borderId="12" fillId="0" fontId="4" numFmtId="10" xfId="0" applyAlignment="1" applyBorder="1" applyFont="1" applyNumberFormat="1">
      <alignment horizontal="right"/>
    </xf>
    <xf borderId="11" fillId="0" fontId="8" numFmtId="0" xfId="0" applyAlignment="1" applyBorder="1" applyFont="1">
      <alignment readingOrder="0"/>
    </xf>
    <xf borderId="0" fillId="0" fontId="4" numFmtId="2" xfId="0" applyAlignment="1" applyFont="1" applyNumberFormat="1">
      <alignment horizontal="right"/>
    </xf>
    <xf borderId="12" fillId="0" fontId="4" numFmtId="2" xfId="0" applyAlignment="1" applyBorder="1" applyFont="1" applyNumberFormat="1">
      <alignment horizontal="right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right"/>
    </xf>
    <xf borderId="8" fillId="0" fontId="7" numFmtId="10" xfId="0" applyAlignment="1" applyBorder="1" applyFont="1" applyNumberFormat="1">
      <alignment horizontal="right"/>
    </xf>
    <xf borderId="10" fillId="0" fontId="7" numFmtId="10" xfId="0" applyAlignment="1" applyBorder="1" applyFont="1" applyNumberFormat="1">
      <alignment horizontal="right"/>
    </xf>
    <xf borderId="8" fillId="0" fontId="7" numFmtId="9" xfId="0" applyAlignment="1" applyBorder="1" applyFont="1" applyNumberFormat="1">
      <alignment horizontal="right" readingOrder="0"/>
    </xf>
    <xf borderId="10" fillId="0" fontId="7" numFmtId="9" xfId="0" applyAlignment="1" applyBorder="1" applyFont="1" applyNumberFormat="1">
      <alignment horizontal="right" readingOrder="0"/>
    </xf>
    <xf borderId="0" fillId="0" fontId="4" numFmtId="10" xfId="0" applyFont="1" applyNumberFormat="1"/>
    <xf borderId="0" fillId="0" fontId="4" numFmtId="0" xfId="0" applyFont="1"/>
    <xf borderId="0" fillId="0" fontId="4" numFmtId="0" xfId="0" applyAlignment="1" applyFont="1">
      <alignment horizontal="center" readingOrder="0"/>
    </xf>
    <xf borderId="16" fillId="0" fontId="4" numFmtId="164" xfId="0" applyAlignment="1" applyBorder="1" applyFont="1" applyNumberFormat="1">
      <alignment horizontal="right"/>
    </xf>
    <xf borderId="0" fillId="0" fontId="4" numFmtId="165" xfId="0" applyAlignment="1" applyFont="1" applyNumberFormat="1">
      <alignment horizontal="right"/>
    </xf>
    <xf borderId="12" fillId="0" fontId="4" numFmtId="165" xfId="0" applyAlignment="1" applyBorder="1" applyFont="1" applyNumberFormat="1">
      <alignment horizontal="right"/>
    </xf>
    <xf borderId="0" fillId="0" fontId="7" numFmtId="0" xfId="0" applyAlignment="1" applyFont="1">
      <alignment horizontal="right" readingOrder="0"/>
    </xf>
    <xf borderId="17" fillId="0" fontId="7" numFmtId="0" xfId="0" applyAlignment="1" applyBorder="1" applyFont="1">
      <alignment horizontal="right" readingOrder="0"/>
    </xf>
    <xf borderId="17" fillId="0" fontId="4" numFmtId="0" xfId="0" applyBorder="1" applyFont="1"/>
    <xf borderId="17" fillId="0" fontId="4" numFmtId="0" xfId="0" applyAlignment="1" applyBorder="1" applyFont="1">
      <alignment horizontal="right"/>
    </xf>
    <xf borderId="17" fillId="0" fontId="4" numFmtId="164" xfId="0" applyAlignment="1" applyBorder="1" applyFont="1" applyNumberFormat="1">
      <alignment horizontal="right"/>
    </xf>
    <xf borderId="17" fillId="0" fontId="4" numFmtId="0" xfId="0" applyAlignment="1" applyBorder="1" applyFont="1">
      <alignment readingOrder="0"/>
    </xf>
    <xf borderId="21" fillId="0" fontId="4" numFmtId="164" xfId="0" applyAlignment="1" applyBorder="1" applyFont="1" applyNumberFormat="1">
      <alignment horizontal="right"/>
    </xf>
    <xf borderId="22" fillId="0" fontId="8" numFmtId="0" xfId="0" applyAlignment="1" applyBorder="1" applyFont="1">
      <alignment readingOrder="0"/>
    </xf>
    <xf borderId="9" fillId="0" fontId="4" numFmtId="164" xfId="0" applyAlignment="1" applyBorder="1" applyFont="1" applyNumberFormat="1">
      <alignment horizontal="right"/>
    </xf>
    <xf borderId="23" fillId="0" fontId="4" numFmtId="164" xfId="0" applyAlignment="1" applyBorder="1" applyFont="1" applyNumberFormat="1">
      <alignment horizontal="right"/>
    </xf>
    <xf borderId="24" fillId="0" fontId="4" numFmtId="164" xfId="0" applyAlignment="1" applyBorder="1" applyFont="1" applyNumberFormat="1">
      <alignment horizontal="right"/>
    </xf>
    <xf borderId="14" fillId="0" fontId="4" numFmtId="164" xfId="0" applyAlignment="1" applyBorder="1" applyFont="1" applyNumberFormat="1">
      <alignment horizontal="left"/>
    </xf>
    <xf borderId="15" fillId="0" fontId="4" numFmtId="164" xfId="0" applyAlignment="1" applyBorder="1" applyFont="1" applyNumberFormat="1">
      <alignment horizontal="left"/>
    </xf>
    <xf borderId="12" fillId="0" fontId="4" numFmtId="10" xfId="0" applyBorder="1" applyFont="1" applyNumberFormat="1"/>
    <xf borderId="14" fillId="0" fontId="4" numFmtId="165" xfId="0" applyAlignment="1" applyBorder="1" applyFont="1" applyNumberFormat="1">
      <alignment horizontal="left"/>
    </xf>
    <xf borderId="0" fillId="0" fontId="4" numFmtId="164" xfId="0" applyAlignment="1" applyFont="1" applyNumberFormat="1">
      <alignment horizontal="left"/>
    </xf>
    <xf borderId="12" fillId="0" fontId="4" numFmtId="164" xfId="0" applyAlignment="1" applyBorder="1" applyFont="1" applyNumberFormat="1">
      <alignment horizontal="left"/>
    </xf>
    <xf borderId="16" fillId="0" fontId="4" numFmtId="164" xfId="0" applyBorder="1" applyFont="1" applyNumberFormat="1"/>
    <xf borderId="14" fillId="0" fontId="4" numFmtId="164" xfId="0" applyBorder="1" applyFont="1" applyNumberFormat="1"/>
    <xf borderId="15" fillId="0" fontId="4" numFmtId="164" xfId="0" applyBorder="1" applyFont="1" applyNumberFormat="1"/>
    <xf borderId="4" fillId="0" fontId="4" numFmtId="0" xfId="0" applyBorder="1" applyFont="1"/>
    <xf borderId="0" fillId="0" fontId="10" numFmtId="0" xfId="0" applyAlignment="1" applyFont="1">
      <alignment horizontal="center" readingOrder="0"/>
    </xf>
    <xf borderId="6" fillId="2" fontId="11" numFmtId="0" xfId="0" applyAlignment="1" applyBorder="1" applyFont="1">
      <alignment horizontal="center" readingOrder="0"/>
    </xf>
    <xf borderId="9" fillId="0" fontId="6" numFmtId="0" xfId="0" applyBorder="1" applyFont="1"/>
    <xf borderId="17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0" fillId="0" fontId="7" numFmtId="10" xfId="0" applyFont="1" applyNumberFormat="1"/>
    <xf borderId="17" fillId="0" fontId="7" numFmtId="10" xfId="0" applyBorder="1" applyFont="1" applyNumberFormat="1"/>
    <xf borderId="12" fillId="0" fontId="7" numFmtId="10" xfId="0" applyBorder="1" applyFont="1" applyNumberFormat="1"/>
    <xf borderId="17" fillId="0" fontId="4" numFmtId="164" xfId="0" applyBorder="1" applyFont="1" applyNumberFormat="1"/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7" fillId="0" fontId="4" numFmtId="2" xfId="0" applyBorder="1" applyFont="1" applyNumberFormat="1"/>
    <xf borderId="0" fillId="0" fontId="4" numFmtId="2" xfId="0" applyFont="1" applyNumberFormat="1"/>
    <xf borderId="12" fillId="0" fontId="4" numFmtId="2" xfId="0" applyBorder="1" applyFont="1" applyNumberFormat="1"/>
    <xf borderId="8" fillId="0" fontId="4" numFmtId="0" xfId="0" applyAlignment="1" applyBorder="1" applyFont="1">
      <alignment readingOrder="0"/>
    </xf>
    <xf borderId="8" fillId="0" fontId="4" numFmtId="164" xfId="0" applyBorder="1" applyFont="1" applyNumberFormat="1"/>
    <xf borderId="25" fillId="2" fontId="8" numFmtId="0" xfId="0" applyAlignment="1" applyBorder="1" applyFont="1">
      <alignment horizontal="center" readingOrder="0"/>
    </xf>
    <xf borderId="2" fillId="0" fontId="6" numFmtId="0" xfId="0" applyBorder="1" applyFont="1"/>
    <xf borderId="11" fillId="0" fontId="4" numFmtId="0" xfId="0" applyAlignment="1" applyBorder="1" applyFont="1">
      <alignment horizontal="left" readingOrder="0"/>
    </xf>
    <xf borderId="12" fillId="0" fontId="4" numFmtId="10" xfId="0" applyAlignment="1" applyBorder="1" applyFont="1" applyNumberFormat="1">
      <alignment readingOrder="0"/>
    </xf>
    <xf borderId="12" fillId="0" fontId="4" numFmtId="4" xfId="0" applyBorder="1" applyFont="1" applyNumberFormat="1"/>
    <xf borderId="11" fillId="0" fontId="4" numFmtId="0" xfId="0" applyAlignment="1" applyBorder="1" applyFont="1">
      <alignment readingOrder="0"/>
    </xf>
    <xf borderId="11" fillId="0" fontId="4" numFmtId="10" xfId="0" applyAlignment="1" applyBorder="1" applyFont="1" applyNumberFormat="1">
      <alignment readingOrder="0"/>
    </xf>
    <xf borderId="7" fillId="0" fontId="8" numFmtId="0" xfId="0" applyAlignment="1" applyBorder="1" applyFont="1">
      <alignment readingOrder="0"/>
    </xf>
    <xf borderId="10" fillId="0" fontId="4" numFmtId="9" xfId="0" applyAlignment="1" applyBorder="1" applyFont="1" applyNumberFormat="1">
      <alignment readingOrder="0"/>
    </xf>
    <xf borderId="6" fillId="2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5" fillId="0" fontId="4" numFmtId="0" xfId="0" applyBorder="1" applyFont="1"/>
    <xf borderId="11" fillId="0" fontId="4" numFmtId="164" xfId="0" applyAlignment="1" applyBorder="1" applyFont="1" applyNumberFormat="1">
      <alignment readingOrder="0"/>
    </xf>
    <xf borderId="26" fillId="0" fontId="8" numFmtId="0" xfId="0" applyAlignment="1" applyBorder="1" applyFont="1">
      <alignment readingOrder="0"/>
    </xf>
    <xf borderId="26" fillId="0" fontId="4" numFmtId="164" xfId="0" applyBorder="1" applyFont="1" applyNumberFormat="1"/>
    <xf borderId="5" fillId="0" fontId="4" numFmtId="164" xfId="0" applyBorder="1" applyFont="1" applyNumberFormat="1"/>
    <xf borderId="24" fillId="0" fontId="4" numFmtId="0" xfId="0" applyBorder="1" applyFont="1"/>
    <xf borderId="25" fillId="2" fontId="4" numFmtId="0" xfId="0" applyAlignment="1" applyBorder="1" applyFont="1">
      <alignment horizontal="center" readingOrder="0" shrinkToFit="0" wrapText="0"/>
    </xf>
    <xf borderId="27" fillId="0" fontId="6" numFmtId="0" xfId="0" applyBorder="1" applyFont="1"/>
    <xf borderId="22" fillId="2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28" fillId="0" fontId="4" numFmtId="10" xfId="0" applyAlignment="1" applyBorder="1" applyFont="1" applyNumberFormat="1">
      <alignment readingOrder="0"/>
    </xf>
    <xf borderId="29" fillId="0" fontId="4" numFmtId="10" xfId="0" applyAlignment="1" applyBorder="1" applyFont="1" applyNumberFormat="1">
      <alignment readingOrder="0"/>
    </xf>
    <xf borderId="30" fillId="0" fontId="4" numFmtId="10" xfId="0" applyAlignment="1" applyBorder="1" applyFont="1" applyNumberFormat="1">
      <alignment readingOrder="0"/>
    </xf>
    <xf borderId="3" fillId="2" fontId="4" numFmtId="0" xfId="0" applyAlignment="1" applyBorder="1" applyFont="1">
      <alignment horizontal="center" readingOrder="0" vertical="bottom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11" fillId="2" fontId="4" numFmtId="0" xfId="0" applyAlignment="1" applyBorder="1" applyFont="1">
      <alignment horizontal="center" readingOrder="0" vertical="bottom"/>
    </xf>
    <xf borderId="32" fillId="3" fontId="4" numFmtId="0" xfId="0" applyBorder="1" applyFill="1" applyFont="1"/>
    <xf borderId="7" fillId="2" fontId="4" numFmtId="0" xfId="0" applyAlignment="1" applyBorder="1" applyFont="1">
      <alignment horizontal="center" readingOrder="0" vertical="bottom"/>
    </xf>
    <xf borderId="10" fillId="0" fontId="4" numFmtId="10" xfId="0" applyBorder="1" applyFont="1" applyNumberForma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0" fillId="0" fontId="2" numFmtId="0" xfId="0" applyAlignment="1" applyFont="1">
      <alignment horizontal="center" readingOrder="0"/>
    </xf>
    <xf borderId="0" fillId="4" fontId="4" numFmtId="0" xfId="0" applyFill="1" applyFont="1"/>
    <xf borderId="0" fillId="4" fontId="12" numFmtId="0" xfId="0" applyAlignment="1" applyFont="1">
      <alignment horizontal="left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37" fillId="0" fontId="14" numFmtId="166" xfId="0" applyAlignment="1" applyBorder="1" applyFont="1" applyNumberFormat="1">
      <alignment horizontal="center"/>
    </xf>
    <xf borderId="37" fillId="0" fontId="14" numFmtId="167" xfId="0" applyAlignment="1" applyBorder="1" applyFont="1" applyNumberFormat="1">
      <alignment horizontal="center" readingOrder="0"/>
    </xf>
    <xf borderId="0" fillId="0" fontId="13" numFmtId="10" xfId="0" applyFont="1" applyNumberFormat="1"/>
    <xf borderId="37" fillId="0" fontId="15" numFmtId="167" xfId="0" applyAlignment="1" applyBorder="1" applyFont="1" applyNumberFormat="1">
      <alignment horizontal="center" readingOrder="0"/>
    </xf>
    <xf borderId="37" fillId="0" fontId="14" numFmtId="3" xfId="0" applyAlignment="1" applyBorder="1" applyFont="1" applyNumberFormat="1">
      <alignment horizontal="center" readingOrder="0"/>
    </xf>
    <xf borderId="0" fillId="0" fontId="13" numFmtId="4" xfId="0" applyFont="1" applyNumberFormat="1"/>
    <xf borderId="37" fillId="0" fontId="14" numFmtId="168" xfId="0" applyAlignment="1" applyBorder="1" applyFont="1" applyNumberForma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166" xfId="0" applyAlignment="1" applyFont="1" applyNumberFormat="1">
      <alignment horizontal="center" readingOrder="0"/>
    </xf>
    <xf borderId="0" fillId="0" fontId="13" numFmtId="168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ndeed" id="{38fb5b46-0b76-414b-9df8-eb6b75ba0a4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7-03T20:59:14.00" personId="{38fb5b46-0b76-414b-9df8-eb6b75ba0a4e}" id="{7ec384d1-d030-4f94-b46d-4cebdf7b5ac6}" done="0">
    <x18tc:text xml:space="preserve">Search the ticker of the stock you want, then find the forecast tab, then copy and write down the future estimated revenue in the table below at H8:K8.</x18tc:text>
  </x18tc:threadedComment>
  <x18tc:threadedComment ref="C73" dT="2025-09-05T16:38:51.00" personId="{38fb5b46-0b76-414b-9df8-eb6b75ba0a4e}" id="{bff89e38-3694-4352-bb8c-3b984c33e2a8}" done="1">
    <x18tc:text xml:space="preserve">Average annual growth of USA GDP</x18tc:text>
  </x18tc:threadedComment>
  <x18tc:threadedComment ref="C71" dT="2025-09-06T17:06:34.00" personId="{38fb5b46-0b76-414b-9df8-eb6b75ba0a4e}" id="{34abede7-32f5-4da2-9596-804bf00b4bf7}" done="0">
    <x18tc:text xml:space="preserve">Average annual growth rate of USA GDP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radingview.com/markets/stocks-usa/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 ht="75.0" customHeight="1">
      <c r="C1" s="1" t="s">
        <v>0</v>
      </c>
      <c r="D1" s="2" t="s">
        <v>1</v>
      </c>
    </row>
    <row r="3" ht="31.5" customHeight="1">
      <c r="C3" s="3" t="s">
        <v>2</v>
      </c>
      <c r="D3" s="4">
        <f>IFERROR(__xludf.DUMMYFUNCTION("GOOGLEFINANCE(D1,""PRICE"")"),393.45)</f>
        <v>393.45</v>
      </c>
      <c r="E3" s="5" t="s">
        <v>3</v>
      </c>
      <c r="F3" s="6">
        <f>D4/D3-1</f>
        <v>-0.6504253742</v>
      </c>
    </row>
    <row r="4" ht="32.25" customHeight="1">
      <c r="C4" s="7" t="s">
        <v>4</v>
      </c>
      <c r="D4" s="8">
        <f>DCF!C85</f>
        <v>137.5401365</v>
      </c>
      <c r="E4" s="5" t="s">
        <v>5</v>
      </c>
      <c r="F4" s="6">
        <f>IFERROR(__xludf.DUMMYFUNCTION("(D3-INDEX(GOOGLEFINANCE(D1,""price"",EDATE(TODAY(),-1)),2,2))/D3"),-0.0768839750921337)</f>
        <v>-0.07688397509</v>
      </c>
    </row>
    <row r="5" ht="7.5" customHeight="1">
      <c r="C5" s="9"/>
      <c r="D5" s="9"/>
    </row>
    <row r="6" ht="32.25" customHeight="1">
      <c r="C6" s="10" t="s">
        <v>6</v>
      </c>
      <c r="D6" s="8" t="str">
        <f>IFERROR(__xludf.DUMMYFUNCTION("SPARKLINE(INDEX(GOOGLEFINANCE(D1,""price"",EDATE(today(),-12),today()), ,2),{""charttype"",""column"";""color"",""red""})"),"")</f>
        <v/>
      </c>
      <c r="E6" s="5" t="s">
        <v>7</v>
      </c>
      <c r="F6" s="6">
        <f>IFERROR(__xludf.DUMMYFUNCTION("(D3-INDEX(GOOGLEFINANCE(D1,""price"",EDATE(TODAY(),-6)),2,2))/D3"),-0.1479730588384802)</f>
        <v>-0.1479730588</v>
      </c>
    </row>
    <row r="7" ht="7.5" customHeight="1">
      <c r="C7" s="9"/>
      <c r="D7" s="9"/>
    </row>
    <row r="8" ht="32.25" customHeight="1">
      <c r="C8" s="10" t="s">
        <v>8</v>
      </c>
      <c r="D8" s="8" t="str">
        <f>IFERROR(__xludf.DUMMYFUNCTION("SPARKLINE(INDEX(GOOGLEFINANCE(D1,""price"",EDATE(today(),-60),today()), ,2),{""charttype"",""column"";""color"",""red""})"),"")</f>
        <v/>
      </c>
      <c r="E8" s="5" t="s">
        <v>9</v>
      </c>
      <c r="F8" s="6">
        <f>IFERROR(__xludf.DUMMYFUNCTION("(D3-INDEX(GOOGLEFINANCE(D1,""price"",EDATE(TODAY(),-12)),2,2))/D3"),0.1985004447833269)</f>
        <v>0.1985004448</v>
      </c>
    </row>
    <row r="11">
      <c r="A11" s="11"/>
      <c r="B11" s="12" t="s">
        <v>10</v>
      </c>
      <c r="C11" s="13" t="s">
        <v>11</v>
      </c>
      <c r="D11" s="14"/>
      <c r="E11" s="14"/>
      <c r="F11" s="14"/>
      <c r="G11" s="15"/>
      <c r="H11" s="16" t="s">
        <v>12</v>
      </c>
      <c r="I11" s="14"/>
      <c r="J11" s="14"/>
      <c r="K11" s="14"/>
      <c r="L11" s="15"/>
    </row>
    <row r="12">
      <c r="A12" s="11"/>
      <c r="B12" s="17"/>
      <c r="C12" s="18">
        <v>2021.0</v>
      </c>
      <c r="D12" s="18">
        <f t="shared" ref="D12:L12" si="1">C12+1</f>
        <v>2022</v>
      </c>
      <c r="E12" s="18">
        <f t="shared" si="1"/>
        <v>2023</v>
      </c>
      <c r="F12" s="18">
        <f t="shared" si="1"/>
        <v>2024</v>
      </c>
      <c r="G12" s="18">
        <f t="shared" si="1"/>
        <v>2025</v>
      </c>
      <c r="H12" s="19">
        <f t="shared" si="1"/>
        <v>2026</v>
      </c>
      <c r="I12" s="18">
        <f t="shared" si="1"/>
        <v>2027</v>
      </c>
      <c r="J12" s="18">
        <f t="shared" si="1"/>
        <v>2028</v>
      </c>
      <c r="K12" s="18">
        <f t="shared" si="1"/>
        <v>2029</v>
      </c>
      <c r="L12" s="20">
        <f t="shared" si="1"/>
        <v>2030</v>
      </c>
    </row>
    <row r="13" ht="3.75" customHeight="1">
      <c r="B13" s="21"/>
      <c r="G13" s="22"/>
      <c r="L13" s="22"/>
    </row>
    <row r="14">
      <c r="A14" s="23"/>
      <c r="B14" s="24"/>
      <c r="G14" s="22"/>
      <c r="H14" s="25"/>
      <c r="I14" s="25"/>
      <c r="J14" s="25"/>
      <c r="K14" s="25"/>
      <c r="L14" s="26"/>
    </row>
    <row r="15">
      <c r="A15" s="23"/>
      <c r="B15" s="24" t="s">
        <v>13</v>
      </c>
      <c r="C15" s="27">
        <f>IFERROR(__xludf.DUMMYFUNCTION("IFERROR(
  LET(
    x, UPPER(SUBSTITUTE(TRIM(Data!B5),CHAR(160),"""")),
    base, VALUE(SUBSTITUTE(REGEXEXTRACT(x,""[0-9.,]+""),"","","""")),
    mult, IF(REGEXMATCH(x,""B""),1000000000, IF(REGEXMATCH(x,""M""),1000000, 1)),
    base * mult
  ),
  0
)"),5.382E10)</f>
        <v>53820000000</v>
      </c>
      <c r="D15" s="27">
        <f>IFERROR(__xludf.DUMMYFUNCTION("IFERROR(
  LET(
    x, UPPER(SUBSTITUTE(TRIM(Data!C5),CHAR(160),"""")),
    base, VALUE(SUBSTITUTE(REGEXEXTRACT(x,""[0-9.,]+""),"","","""")),
    mult, IF(REGEXMATCH(x,""B""),1000000000, IF(REGEXMATCH(x,""M""),1000000, 1)),
    base * mult
  ),
  0
)"),8.146E10)</f>
        <v>81460000000</v>
      </c>
      <c r="E15" s="27">
        <f>IFERROR(__xludf.DUMMYFUNCTION("IFERROR(
  LET(
    x, UPPER(SUBSTITUTE(TRIM(Data!D5),CHAR(160),"""")),
    base, VALUE(SUBSTITUTE(REGEXEXTRACT(x,""[0-9.,]+""),"","","""")),
    mult, IF(REGEXMATCH(x,""B""),1000000000, IF(REGEXMATCH(x,""M""),1000000, 1)),
    base * mult
  ),
  0
)"),9.677E10)</f>
        <v>96770000000</v>
      </c>
      <c r="F15" s="27">
        <f>IFERROR(__xludf.DUMMYFUNCTION("IFERROR(
  LET(
    x, UPPER(SUBSTITUTE(TRIM(Data!E5),CHAR(160),"""")),
    base, VALUE(SUBSTITUTE(REGEXEXTRACT(x,""[0-9.,]+""),"","","""")),
    mult, IF(REGEXMATCH(x,""B""),1000000000, IF(REGEXMATCH(x,""M""),1000000, 1)),
    base * mult
  ),
  0
)"),9.769E10)</f>
        <v>97690000000</v>
      </c>
      <c r="G15" s="28">
        <f>IFERROR(__xludf.DUMMYFUNCTION("IFERROR(
  LET(
    x, UPPER(SUBSTITUTE(TRIM(Data!F5),CHAR(160),"""")),
    base, VALUE(SUBSTITUTE(REGEXEXTRACT(x,""[0-9.,]+""),"","","""")),
    mult, IF(REGEXMATCH(x,""B""),1000000000, IF(REGEXMATCH(x,""M""),1000000, 1)),
    base * mult
  ),
  0
)"),9.483E10)</f>
        <v>94830000000</v>
      </c>
      <c r="H15" s="27">
        <f>DCF!H8</f>
        <v>102430000000</v>
      </c>
      <c r="I15" s="27">
        <f t="shared" ref="I15:L15" si="2">H15*(1+H16)</f>
        <v>118012412056</v>
      </c>
      <c r="J15" s="27">
        <f t="shared" si="2"/>
        <v>135965336320</v>
      </c>
      <c r="K15" s="27">
        <f t="shared" si="2"/>
        <v>156649392708</v>
      </c>
      <c r="L15" s="28">
        <f t="shared" si="2"/>
        <v>180480061315</v>
      </c>
    </row>
    <row r="16">
      <c r="A16" s="29"/>
      <c r="B16" s="30" t="s">
        <v>14</v>
      </c>
      <c r="C16" s="31" t="str">
        <f>Data!B6</f>
        <v>-</v>
      </c>
      <c r="D16" s="32">
        <f>Data!C6</f>
        <v>0.5135</v>
      </c>
      <c r="E16" s="32">
        <f>Data!D6</f>
        <v>0.188</v>
      </c>
      <c r="F16" s="32">
        <f>Data!E6</f>
        <v>0.0095</v>
      </c>
      <c r="G16" s="33">
        <f>Data!F6</f>
        <v>-0.0293</v>
      </c>
      <c r="H16" s="32">
        <f>(G15/C15)^(1/4)-1</f>
        <v>0.1521274242</v>
      </c>
      <c r="I16" s="34">
        <f t="shared" ref="I16:L16" si="3">H16</f>
        <v>0.1521274242</v>
      </c>
      <c r="J16" s="34">
        <f t="shared" si="3"/>
        <v>0.1521274242</v>
      </c>
      <c r="K16" s="34">
        <f t="shared" si="3"/>
        <v>0.1521274242</v>
      </c>
      <c r="L16" s="35">
        <f t="shared" si="3"/>
        <v>0.1521274242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3.75" customHeight="1">
      <c r="B17" s="21"/>
      <c r="C17" s="37"/>
      <c r="D17" s="37"/>
      <c r="E17" s="37"/>
      <c r="F17" s="37"/>
      <c r="G17" s="38"/>
      <c r="H17" s="37"/>
      <c r="I17" s="37"/>
      <c r="J17" s="37"/>
      <c r="K17" s="37"/>
      <c r="L17" s="38"/>
    </row>
    <row r="18">
      <c r="A18" s="23"/>
      <c r="B18" s="24" t="s">
        <v>15</v>
      </c>
      <c r="C18" s="37" t="str">
        <f>Data!B7</f>
        <v>40.22B</v>
      </c>
      <c r="D18" s="37" t="str">
        <f>Data!C7</f>
        <v>60.61B</v>
      </c>
      <c r="E18" s="37" t="str">
        <f>Data!D7</f>
        <v>79.11B</v>
      </c>
      <c r="F18" s="37" t="str">
        <f>Data!E7</f>
        <v>80.24B</v>
      </c>
      <c r="G18" s="38" t="str">
        <f>Data!F7</f>
        <v>77.73B</v>
      </c>
      <c r="H18" s="27">
        <f t="shared" ref="H18:L18" si="4">H15-H19</f>
        <v>84338980277</v>
      </c>
      <c r="I18" s="27">
        <f t="shared" si="4"/>
        <v>98861739463</v>
      </c>
      <c r="J18" s="27">
        <f t="shared" si="4"/>
        <v>115692943366</v>
      </c>
      <c r="K18" s="27">
        <f t="shared" si="4"/>
        <v>135189576396</v>
      </c>
      <c r="L18" s="28">
        <f t="shared" si="4"/>
        <v>157763270201</v>
      </c>
    </row>
    <row r="19">
      <c r="A19" s="39"/>
      <c r="B19" s="40" t="s">
        <v>16</v>
      </c>
      <c r="C19" s="41" t="str">
        <f>Data!B13</f>
        <v>13.61B</v>
      </c>
      <c r="D19" s="41" t="str">
        <f>Data!C13</f>
        <v>20.85B</v>
      </c>
      <c r="E19" s="41" t="str">
        <f>Data!D13</f>
        <v>17.66B</v>
      </c>
      <c r="F19" s="41" t="str">
        <f>Data!E13</f>
        <v>17.45B</v>
      </c>
      <c r="G19" s="42" t="str">
        <f>Data!F13</f>
        <v>17.09B</v>
      </c>
      <c r="H19" s="43">
        <f>IFERROR(__xludf.DUMMYFUNCTION("REGEXREPLACE(G19,""B"","""")*1000000000*(1+H20)"),1.809101972289867E10)</f>
        <v>18091019723</v>
      </c>
      <c r="I19" s="44">
        <f t="shared" ref="I19:L19" si="5">H19*(1+I20)</f>
        <v>19150672593</v>
      </c>
      <c r="J19" s="44">
        <f t="shared" si="5"/>
        <v>20272392954</v>
      </c>
      <c r="K19" s="44">
        <f t="shared" si="5"/>
        <v>21459816312</v>
      </c>
      <c r="L19" s="45">
        <f t="shared" si="5"/>
        <v>22716791114</v>
      </c>
    </row>
    <row r="20">
      <c r="A20" s="29"/>
      <c r="B20" s="30" t="s">
        <v>17</v>
      </c>
      <c r="C20" s="31" t="str">
        <f>Data!B14</f>
        <v>-</v>
      </c>
      <c r="D20" s="32">
        <f>Data!C14</f>
        <v>0.5326</v>
      </c>
      <c r="E20" s="32">
        <f>Data!D14</f>
        <v>-0.1531</v>
      </c>
      <c r="F20" s="32">
        <f>Data!E14</f>
        <v>-0.0119</v>
      </c>
      <c r="G20" s="32">
        <f>Data!F14</f>
        <v>-0.0204</v>
      </c>
      <c r="H20" s="46">
        <f>IFERROR(__xludf.DUMMYFUNCTION("(REGEXREPLACE(G19,""B"","""")/REGEXREPLACE(C19,""B"",""""))^(1/4)-1"),0.058573418542929856)</f>
        <v>0.05857341854</v>
      </c>
      <c r="I20" s="34">
        <f t="shared" ref="I20:L20" si="6">H20</f>
        <v>0.05857341854</v>
      </c>
      <c r="J20" s="34">
        <f t="shared" si="6"/>
        <v>0.05857341854</v>
      </c>
      <c r="K20" s="34">
        <f t="shared" si="6"/>
        <v>0.05857341854</v>
      </c>
      <c r="L20" s="35">
        <f t="shared" si="6"/>
        <v>0.05857341854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.75" customHeight="1">
      <c r="B21" s="21"/>
      <c r="C21" s="37"/>
      <c r="D21" s="37"/>
      <c r="E21" s="37"/>
      <c r="F21" s="37"/>
      <c r="G21" s="38"/>
      <c r="H21" s="37"/>
      <c r="I21" s="37"/>
      <c r="J21" s="37"/>
      <c r="K21" s="37"/>
      <c r="L21" s="38"/>
    </row>
    <row r="22">
      <c r="B22" s="21"/>
      <c r="C22" s="37"/>
      <c r="D22" s="37"/>
      <c r="E22" s="37"/>
      <c r="F22" s="37"/>
      <c r="G22" s="38"/>
      <c r="H22" s="47"/>
      <c r="I22" s="37"/>
      <c r="J22" s="37"/>
      <c r="K22" s="37"/>
      <c r="L22" s="38"/>
    </row>
    <row r="23">
      <c r="A23" s="23"/>
      <c r="B23" s="24" t="s">
        <v>18</v>
      </c>
      <c r="C23" s="27">
        <f>IFERROR(__xludf.DUMMYFUNCTION("IFERROR(
  LET(
    x, UPPER(SUBSTITUTE(TRIM(Data!B16),CHAR(160),"""")),
    base, VALUE(SUBSTITUTE(REGEXEXTRACT(x,""[0-9.,]+""),"","","""")),
    mult, IF(REGEXMATCH(x,""B""),1000000000, IF(REGEXMATCH(x,""M""),1000000, 1)),
    base * mult
  ),
  0
)"),7.11E9)</f>
        <v>7110000000</v>
      </c>
      <c r="D23" s="27">
        <f>IFERROR(__xludf.DUMMYFUNCTION("IFERROR(
  LET(
    x, UPPER(SUBSTITUTE(TRIM(Data!C16),CHAR(160),"""")),
    base, VALUE(SUBSTITUTE(REGEXEXTRACT(x,""[0-9.,]+""),"","","""")),
    mult, IF(REGEXMATCH(x,""B""),1000000000, IF(REGEXMATCH(x,""M""),1000000, 1)),
    base * mult
  ),
  0
)"),7.02E9)</f>
        <v>7020000000</v>
      </c>
      <c r="E23" s="27">
        <f>IFERROR(__xludf.DUMMYFUNCTION("IFERROR(
  LET(
    x, UPPER(SUBSTITUTE(TRIM(Data!D16),CHAR(160),"""")),
    base, VALUE(SUBSTITUTE(REGEXEXTRACT(x,""[0-9.,]+""),"","","""")),
    mult, IF(REGEXMATCH(x,""B""),1000000000, IF(REGEXMATCH(x,""M""),1000000, 1)),
    base * mult
  ),
  0
)"),8.77E9)</f>
        <v>8770000000</v>
      </c>
      <c r="F23" s="27">
        <f>IFERROR(__xludf.DUMMYFUNCTION("IFERROR(
  LET(
    x, UPPER(SUBSTITUTE(TRIM(Data!E16),CHAR(160),"""")),
    base, VALUE(SUBSTITUTE(REGEXEXTRACT(x,""[0-9.,]+""),"","","""")),
    mult, IF(REGEXMATCH(x,""B""),1000000000, IF(REGEXMATCH(x,""M""),1000000, 1)),
    base * mult
  ),
  0
)"),9.69E9)</f>
        <v>9690000000</v>
      </c>
      <c r="G23" s="28">
        <f>IFERROR(__xludf.DUMMYFUNCTION("IFERROR(
  LET(
    x, UPPER(SUBSTITUTE(TRIM(Data!F16),CHAR(160),"""")),
    base, VALUE(SUBSTITUTE(REGEXEXTRACT(x,""[0-9.,]+""),"","","""")),
    mult, IF(REGEXMATCH(x,""B""),1000000000, IF(REGEXMATCH(x,""M""),1000000, 1)),
    base * mult
  ),
  0
)"),1.225E10)</f>
        <v>12250000000</v>
      </c>
      <c r="H23" s="48" t="s">
        <v>19</v>
      </c>
      <c r="I23" s="48" t="s">
        <v>19</v>
      </c>
      <c r="J23" s="48" t="s">
        <v>19</v>
      </c>
      <c r="K23" s="48" t="s">
        <v>19</v>
      </c>
      <c r="L23" s="49" t="s">
        <v>19</v>
      </c>
    </row>
    <row r="24">
      <c r="A24" s="50"/>
      <c r="B24" s="51" t="s">
        <v>20</v>
      </c>
      <c r="C24" s="27" t="str">
        <f>Data!B10</f>
        <v>2.91B</v>
      </c>
      <c r="D24" s="27" t="str">
        <f>Data!C10</f>
        <v>3.54B</v>
      </c>
      <c r="E24" s="27" t="str">
        <f>Data!D10</f>
        <v>4.67B</v>
      </c>
      <c r="F24" s="27" t="str">
        <f>Data!E10</f>
        <v>5.37B</v>
      </c>
      <c r="G24" s="28" t="str">
        <f>Data!F10</f>
        <v>6.15B</v>
      </c>
      <c r="H24" s="48" t="s">
        <v>19</v>
      </c>
      <c r="I24" s="48" t="s">
        <v>19</v>
      </c>
      <c r="J24" s="48" t="s">
        <v>19</v>
      </c>
      <c r="K24" s="48" t="s">
        <v>19</v>
      </c>
      <c r="L24" s="49" t="s">
        <v>19</v>
      </c>
    </row>
    <row r="25">
      <c r="A25" s="23"/>
      <c r="B25" s="24" t="s">
        <v>21</v>
      </c>
      <c r="C25" s="27" t="str">
        <f>Data!B21</f>
        <v>(40M)</v>
      </c>
      <c r="D25" s="27" t="str">
        <f>Data!C21</f>
        <v>150M</v>
      </c>
      <c r="E25" s="27" t="str">
        <f>Data!D21</f>
        <v>4M</v>
      </c>
      <c r="F25" s="27" t="str">
        <f>Data!E21</f>
        <v>670M</v>
      </c>
      <c r="G25" s="28" t="str">
        <f>Data!F21</f>
        <v>562M</v>
      </c>
      <c r="H25" s="48" t="s">
        <v>19</v>
      </c>
      <c r="I25" s="48" t="s">
        <v>19</v>
      </c>
      <c r="J25" s="48" t="s">
        <v>19</v>
      </c>
      <c r="K25" s="48" t="s">
        <v>19</v>
      </c>
      <c r="L25" s="49" t="s">
        <v>19</v>
      </c>
    </row>
    <row r="26">
      <c r="A26" s="39"/>
      <c r="B26" s="40" t="s">
        <v>22</v>
      </c>
      <c r="C26" s="52">
        <f t="shared" ref="C26:G26" si="7">C23</f>
        <v>7110000000</v>
      </c>
      <c r="D26" s="52">
        <f t="shared" si="7"/>
        <v>7020000000</v>
      </c>
      <c r="E26" s="52">
        <f t="shared" si="7"/>
        <v>8770000000</v>
      </c>
      <c r="F26" s="52">
        <f t="shared" si="7"/>
        <v>9690000000</v>
      </c>
      <c r="G26" s="53">
        <f t="shared" si="7"/>
        <v>12250000000</v>
      </c>
      <c r="H26" s="52">
        <f t="shared" ref="H26:L26" si="8">G26*(1+H27)</f>
        <v>14034686328</v>
      </c>
      <c r="I26" s="44">
        <f t="shared" si="8"/>
        <v>16079381251</v>
      </c>
      <c r="J26" s="44">
        <f t="shared" si="8"/>
        <v>18421965078</v>
      </c>
      <c r="K26" s="44">
        <f t="shared" si="8"/>
        <v>21105836850</v>
      </c>
      <c r="L26" s="45">
        <f t="shared" si="8"/>
        <v>24180718357</v>
      </c>
    </row>
    <row r="27">
      <c r="A27" s="54"/>
      <c r="B27" s="55" t="s">
        <v>23</v>
      </c>
      <c r="C27" s="56" t="s">
        <v>19</v>
      </c>
      <c r="D27" s="57">
        <f t="shared" ref="D27:G27" si="9">D26/C26-1</f>
        <v>-0.01265822785</v>
      </c>
      <c r="E27" s="57">
        <f t="shared" si="9"/>
        <v>0.2492877493</v>
      </c>
      <c r="F27" s="57">
        <f t="shared" si="9"/>
        <v>0.1049030787</v>
      </c>
      <c r="G27" s="58">
        <f t="shared" si="9"/>
        <v>0.2641898865</v>
      </c>
      <c r="H27" s="57">
        <f>(G26/C26)^(1/4)-1</f>
        <v>0.1456886798</v>
      </c>
      <c r="I27" s="59">
        <f t="shared" ref="I27:L27" si="10">H27</f>
        <v>0.1456886798</v>
      </c>
      <c r="J27" s="59">
        <f t="shared" si="10"/>
        <v>0.1456886798</v>
      </c>
      <c r="K27" s="59">
        <f t="shared" si="10"/>
        <v>0.1456886798</v>
      </c>
      <c r="L27" s="60">
        <f t="shared" si="10"/>
        <v>0.1456886798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9"/>
      <c r="B28" s="40" t="s">
        <v>24</v>
      </c>
      <c r="C28" s="52">
        <f>IFERROR(__xludf.DUMMYFUNCTION("(REGEXREPLACE(C19,""B"","""")*1000000000)-C26"),6.5E9)</f>
        <v>6500000000</v>
      </c>
      <c r="D28" s="52">
        <f>IFERROR(__xludf.DUMMYFUNCTION("(REGEXREPLACE(D19,""B"","""")*1000000000)-D26"),1.383E10)</f>
        <v>13830000000</v>
      </c>
      <c r="E28" s="52">
        <f>IFERROR(__xludf.DUMMYFUNCTION("(REGEXREPLACE(E19,""B"","""")*1000000000)-E26"),8.89E9)</f>
        <v>8890000000</v>
      </c>
      <c r="F28" s="52">
        <f>IFERROR(__xludf.DUMMYFUNCTION("(REGEXREPLACE(F19,""B"","""")*1000000000)-F26"),7.76E9)</f>
        <v>7760000000</v>
      </c>
      <c r="G28" s="53">
        <f>IFERROR(__xludf.DUMMYFUNCTION("(REGEXREPLACE(G19,""B"","""")*1000000000)-G26"),4.84E9)</f>
        <v>4840000000</v>
      </c>
      <c r="H28" s="52">
        <f t="shared" ref="H28:L28" si="11">G28*(1+H29)</f>
        <v>4496021329</v>
      </c>
      <c r="I28" s="52">
        <f t="shared" si="11"/>
        <v>4221449427</v>
      </c>
      <c r="J28" s="52">
        <f t="shared" si="11"/>
        <v>4005860118</v>
      </c>
      <c r="K28" s="52">
        <f t="shared" si="11"/>
        <v>3841339550</v>
      </c>
      <c r="L28" s="53">
        <f t="shared" si="11"/>
        <v>3721989233</v>
      </c>
    </row>
    <row r="29">
      <c r="A29" s="54"/>
      <c r="B29" s="61" t="s">
        <v>25</v>
      </c>
      <c r="C29" s="62" t="s">
        <v>19</v>
      </c>
      <c r="D29" s="32">
        <f t="shared" ref="D29:G29" si="12">D28/C28-1</f>
        <v>1.127692308</v>
      </c>
      <c r="E29" s="32">
        <f t="shared" si="12"/>
        <v>-0.3571945047</v>
      </c>
      <c r="F29" s="32">
        <f t="shared" si="12"/>
        <v>-0.1271091114</v>
      </c>
      <c r="G29" s="32">
        <f t="shared" si="12"/>
        <v>-0.3762886598</v>
      </c>
      <c r="H29" s="63">
        <f>(G28/C28)^(1/4)-1</f>
        <v>-0.07106997324</v>
      </c>
      <c r="I29" s="34">
        <f t="shared" ref="I29:L29" si="13">H29+1%</f>
        <v>-0.06106997324</v>
      </c>
      <c r="J29" s="34">
        <f t="shared" si="13"/>
        <v>-0.05106997324</v>
      </c>
      <c r="K29" s="34">
        <f t="shared" si="13"/>
        <v>-0.04106997324</v>
      </c>
      <c r="L29" s="35">
        <f t="shared" si="13"/>
        <v>-0.03106997324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.75" customHeight="1">
      <c r="B30" s="21"/>
      <c r="C30" s="37"/>
      <c r="D30" s="37"/>
      <c r="E30" s="37"/>
      <c r="F30" s="37"/>
      <c r="G30" s="38"/>
      <c r="H30" s="37"/>
      <c r="I30" s="37"/>
      <c r="J30" s="37"/>
      <c r="K30" s="37"/>
      <c r="L30" s="38"/>
    </row>
    <row r="31">
      <c r="B31" s="21"/>
      <c r="C31" s="37"/>
      <c r="D31" s="37"/>
      <c r="E31" s="37"/>
      <c r="F31" s="37"/>
      <c r="G31" s="38"/>
      <c r="H31" s="37"/>
      <c r="I31" s="37"/>
      <c r="J31" s="37"/>
      <c r="K31" s="37"/>
      <c r="L31" s="38"/>
    </row>
    <row r="32">
      <c r="A32" s="23"/>
      <c r="B32" s="24" t="s">
        <v>26</v>
      </c>
      <c r="C32" s="37" t="str">
        <f>Data!B22</f>
        <v>6.54B</v>
      </c>
      <c r="D32" s="37" t="str">
        <f>Data!C22</f>
        <v>13.68B</v>
      </c>
      <c r="E32" s="37" t="str">
        <f>Data!D22</f>
        <v>8.89B</v>
      </c>
      <c r="F32" s="37" t="str">
        <f>Data!E22</f>
        <v>7.09B</v>
      </c>
      <c r="G32" s="38" t="str">
        <f>Data!F22</f>
        <v>4.29B</v>
      </c>
      <c r="H32" s="48" t="s">
        <v>19</v>
      </c>
      <c r="I32" s="48" t="s">
        <v>19</v>
      </c>
      <c r="J32" s="48" t="s">
        <v>19</v>
      </c>
      <c r="K32" s="48" t="s">
        <v>19</v>
      </c>
      <c r="L32" s="49" t="s">
        <v>19</v>
      </c>
    </row>
    <row r="33">
      <c r="A33" s="39"/>
      <c r="B33" s="40" t="s">
        <v>27</v>
      </c>
      <c r="C33" s="52">
        <f>IFERROR(__xludf.DUMMYFUNCTION("IFERROR(
  LET(
    x, UPPER(SUBSTITUTE(TRIM(Data!B59),CHAR(160),"""")),
    base, VALUE(SUBSTITUTE(REGEXEXTRACT(x,""[0-9.,]+""),"","","""")),
    mult, IF(REGEXMATCH(x,""B""),1000000000, IF(REGEXMATCH(x,""M""),1000000, 1)),
    base * mult
  ),
  0
)"),9.41E9)</f>
        <v>9410000000</v>
      </c>
      <c r="D33" s="52">
        <f>IFERROR(__xludf.DUMMYFUNCTION("IFERROR(
  LET(
    x, UPPER(SUBSTITUTE(TRIM(Data!C59),CHAR(160),"""")),
    base, VALUE(SUBSTITUTE(REGEXEXTRACT(x,""[0-9.,]+""),"","","""")),
    mult, IF(REGEXMATCH(x,""B""),1000000000, IF(REGEXMATCH(x,""M""),1000000, 1)),
    base * mult
  ),
  0
)"),1.738E10)</f>
        <v>17380000000</v>
      </c>
      <c r="E33" s="52">
        <f>IFERROR(__xludf.DUMMYFUNCTION("IFERROR(
  LET(
    x, UPPER(SUBSTITUTE(TRIM(Data!D59),CHAR(160),"""")),
    base, VALUE(SUBSTITUTE(REGEXEXTRACT(x,""[0-9.,]+""),"","","""")),
    mult, IF(REGEXMATCH(x,""B""),1000000000, IF(REGEXMATCH(x,""M""),1000000, 1)),
    base * mult
  ),
  0
)"),1.356E10)</f>
        <v>13560000000</v>
      </c>
      <c r="F33" s="52">
        <f>IFERROR(__xludf.DUMMYFUNCTION("IFERROR(
  LET(
    x, UPPER(SUBSTITUTE(TRIM(Data!E59),CHAR(160),"""")),
    base, VALUE(SUBSTITUTE(REGEXEXTRACT(x,""[0-9.,]+""),"","","""")),
    mult, IF(REGEXMATCH(x,""B""),1000000000, IF(REGEXMATCH(x,""M""),1000000, 1)),
    base * mult
  ),
  0
)"),1.313E10)</f>
        <v>13130000000</v>
      </c>
      <c r="G33" s="53">
        <f>IFERROR(__xludf.DUMMYFUNCTION("IFERROR(
  LET(
    x, UPPER(SUBSTITUTE(TRIM(Data!F59),CHAR(160),"""")),
    base, VALUE(SUBSTITUTE(REGEXEXTRACT(x,""[0-9.,]+""),"","","""")),
    mult, IF(REGEXMATCH(x,""B""),1000000000, IF(REGEXMATCH(x,""M""),1000000, 1)),
    base * mult
  ),
  0
)"),1.1E10)</f>
        <v>11000000000</v>
      </c>
      <c r="H33" s="52">
        <f t="shared" ref="H33:L33" si="14">G33*(1+H34)</f>
        <v>11437825081</v>
      </c>
      <c r="I33" s="52">
        <f t="shared" si="14"/>
        <v>11893076599</v>
      </c>
      <c r="J33" s="52">
        <f t="shared" si="14"/>
        <v>12366448165</v>
      </c>
      <c r="K33" s="52">
        <f t="shared" si="14"/>
        <v>12858660999</v>
      </c>
      <c r="L33" s="53">
        <f t="shared" si="14"/>
        <v>13370465026</v>
      </c>
    </row>
    <row r="34">
      <c r="A34" s="29"/>
      <c r="B34" s="30" t="s">
        <v>28</v>
      </c>
      <c r="C34" s="31" t="str">
        <f>Data!B60</f>
        <v>-</v>
      </c>
      <c r="D34" s="32">
        <f>Data!C60</f>
        <v>0.847</v>
      </c>
      <c r="E34" s="32">
        <f>Data!D60</f>
        <v>-0.2197</v>
      </c>
      <c r="F34" s="32">
        <f>Data!E60</f>
        <v>-0.0317</v>
      </c>
      <c r="G34" s="33">
        <f>Data!F60</f>
        <v>-0.1623</v>
      </c>
      <c r="H34" s="32">
        <f>(G33/C33)^(1/4)-1</f>
        <v>0.03980228011</v>
      </c>
      <c r="I34" s="34">
        <f t="shared" ref="I34:L34" si="15">H34</f>
        <v>0.03980228011</v>
      </c>
      <c r="J34" s="34">
        <f t="shared" si="15"/>
        <v>0.03980228011</v>
      </c>
      <c r="K34" s="34">
        <f t="shared" si="15"/>
        <v>0.03980228011</v>
      </c>
      <c r="L34" s="35">
        <f t="shared" si="15"/>
        <v>0.03980228011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23"/>
      <c r="B35" s="24" t="s">
        <v>29</v>
      </c>
      <c r="C35" s="37" t="str">
        <f>Data!B61</f>
        <v>-</v>
      </c>
      <c r="D35" s="37" t="str">
        <f>Data!C61</f>
        <v>-</v>
      </c>
      <c r="E35" s="37" t="str">
        <f>Data!D61</f>
        <v>-</v>
      </c>
      <c r="F35" s="37" t="str">
        <f>Data!E61</f>
        <v>-</v>
      </c>
      <c r="G35" s="64">
        <f>Data!F61</f>
        <v>0.116</v>
      </c>
      <c r="H35" s="37"/>
      <c r="I35" s="37"/>
      <c r="J35" s="37"/>
      <c r="K35" s="37"/>
      <c r="L35" s="38"/>
    </row>
    <row r="36" ht="3.75" customHeight="1">
      <c r="A36" s="23"/>
      <c r="B36" s="24"/>
      <c r="C36" s="37"/>
      <c r="D36" s="37"/>
      <c r="E36" s="37"/>
      <c r="F36" s="37"/>
      <c r="G36" s="38"/>
      <c r="H36" s="37"/>
      <c r="I36" s="37"/>
      <c r="J36" s="37"/>
      <c r="K36" s="37"/>
      <c r="L36" s="38"/>
    </row>
    <row r="37">
      <c r="A37" s="39"/>
      <c r="B37" s="65"/>
      <c r="C37" s="37"/>
      <c r="D37" s="37"/>
      <c r="E37" s="37"/>
      <c r="F37" s="37"/>
      <c r="G37" s="38"/>
      <c r="H37" s="37"/>
      <c r="I37" s="37"/>
      <c r="J37" s="37"/>
      <c r="K37" s="37"/>
      <c r="L37" s="38"/>
    </row>
    <row r="38">
      <c r="A38" s="23"/>
      <c r="B38" s="24" t="s">
        <v>30</v>
      </c>
      <c r="C38" s="37" t="str">
        <f>Data!B30</f>
        <v>6.34B</v>
      </c>
      <c r="D38" s="37" t="str">
        <f>Data!C30</f>
        <v>13.72B</v>
      </c>
      <c r="E38" s="37" t="str">
        <f>Data!D30</f>
        <v>9.97B</v>
      </c>
      <c r="F38" s="37" t="str">
        <f>Data!E30</f>
        <v>8.99B</v>
      </c>
      <c r="G38" s="38" t="str">
        <f>Data!F30</f>
        <v>5.28B</v>
      </c>
      <c r="H38" s="48" t="s">
        <v>19</v>
      </c>
      <c r="I38" s="48" t="s">
        <v>19</v>
      </c>
      <c r="J38" s="48" t="s">
        <v>19</v>
      </c>
      <c r="K38" s="48" t="s">
        <v>19</v>
      </c>
      <c r="L38" s="49" t="s">
        <v>19</v>
      </c>
    </row>
    <row r="39">
      <c r="A39" s="23"/>
      <c r="B39" s="24" t="s">
        <v>31</v>
      </c>
      <c r="C39" s="37" t="str">
        <f>Data!B33</f>
        <v>699M</v>
      </c>
      <c r="D39" s="37" t="str">
        <f>Data!C33</f>
        <v>1.13B</v>
      </c>
      <c r="E39" s="37" t="str">
        <f>Data!D33</f>
        <v>(5B)</v>
      </c>
      <c r="F39" s="37" t="str">
        <f>Data!E33</f>
        <v>1.84B</v>
      </c>
      <c r="G39" s="38" t="str">
        <f>Data!F33</f>
        <v>1.42B</v>
      </c>
      <c r="H39" s="48" t="s">
        <v>19</v>
      </c>
      <c r="I39" s="48" t="s">
        <v>19</v>
      </c>
      <c r="J39" s="48" t="s">
        <v>19</v>
      </c>
      <c r="K39" s="48" t="s">
        <v>19</v>
      </c>
      <c r="L39" s="49" t="s">
        <v>19</v>
      </c>
    </row>
    <row r="40">
      <c r="A40" s="39"/>
      <c r="B40" s="40" t="s">
        <v>32</v>
      </c>
      <c r="C40" s="52">
        <f>IFERROR(__xludf.DUMMYFUNCTION("IFERROR(
  LET(
    x, UPPER(SUBSTITUTE(TRIM(Data!B43),CHAR(160),"""")),
    base, VALUE(SUBSTITUTE(REGEXEXTRACT(x,""[0-9.,]+""),"","","""")),
    mult, IF(REGEXMATCH(x,""B""),1000000000, IF(REGEXMATCH(x,""M""),1000000, 1)),
    base * mult
  ),
  0
)"),5.52E9)</f>
        <v>5520000000</v>
      </c>
      <c r="D40" s="52">
        <f>IFERROR(__xludf.DUMMYFUNCTION("IFERROR(
  LET(
    x, UPPER(SUBSTITUTE(TRIM(Data!C43),CHAR(160),"""")),
    base, VALUE(SUBSTITUTE(REGEXEXTRACT(x,""[0-9.,]+""),"","","""")),
    mult, IF(REGEXMATCH(x,""B""),1000000000, IF(REGEXMATCH(x,""M""),1000000, 1)),
    base * mult
  ),
  0
)"),1.258E10)</f>
        <v>12580000000</v>
      </c>
      <c r="E40" s="52">
        <f>IFERROR(__xludf.DUMMYFUNCTION("IFERROR(
  LET(
    x, UPPER(SUBSTITUTE(TRIM(Data!D43),CHAR(160),"""")),
    base, VALUE(SUBSTITUTE(REGEXEXTRACT(x,""[0-9.,]+""),"","","""")),
    mult, IF(REGEXMATCH(x,""B""),1000000000, IF(REGEXMATCH(x,""M""),1000000, 1)),
    base * mult
  ),
  0
)"),1.5E10)</f>
        <v>15000000000</v>
      </c>
      <c r="F40" s="52">
        <f>IFERROR(__xludf.DUMMYFUNCTION("IFERROR(
  LET(
    x, UPPER(SUBSTITUTE(TRIM(Data!E43),CHAR(160),"""")),
    base, VALUE(SUBSTITUTE(REGEXEXTRACT(x,""[0-9.,]+""),"","","""")),
    mult, IF(REGEXMATCH(x,""B""),1000000000, IF(REGEXMATCH(x,""M""),1000000, 1)),
    base * mult
  ),
  0
)"),7.13E9)</f>
        <v>7130000000</v>
      </c>
      <c r="G40" s="53">
        <f>IFERROR(__xludf.DUMMYFUNCTION("IFERROR(
  LET(
    x, UPPER(SUBSTITUTE(TRIM(Data!F43),CHAR(160),"""")),
    base, VALUE(SUBSTITUTE(REGEXEXTRACT(x,""[0-9.,]+""),"","","""")),
    mult, IF(REGEXMATCH(x,""B""),1000000000, IF(REGEXMATCH(x,""M""),1000000, 1)),
    base * mult
  ),
  0
)"),3.79E9)</f>
        <v>3790000000</v>
      </c>
      <c r="H40" s="52">
        <f t="shared" ref="H40:L40" si="16">G40*(1+H42)</f>
        <v>2778701667</v>
      </c>
      <c r="I40" s="52">
        <f t="shared" si="16"/>
        <v>2037251439</v>
      </c>
      <c r="J40" s="52">
        <f t="shared" si="16"/>
        <v>1259955129</v>
      </c>
      <c r="K40" s="52">
        <f t="shared" si="16"/>
        <v>824291519.6</v>
      </c>
      <c r="L40" s="53">
        <f t="shared" si="16"/>
        <v>564436623.3</v>
      </c>
    </row>
    <row r="41">
      <c r="A41" s="23"/>
      <c r="B41" s="24" t="s">
        <v>33</v>
      </c>
      <c r="C41" s="37" t="str">
        <f>Data!B52</f>
        <v>5.52B</v>
      </c>
      <c r="D41" s="37" t="str">
        <f>Data!C52</f>
        <v>12.58B</v>
      </c>
      <c r="E41" s="37" t="str">
        <f>Data!D52</f>
        <v>15B</v>
      </c>
      <c r="F41" s="37" t="str">
        <f>Data!E52</f>
        <v>7.13B</v>
      </c>
      <c r="G41" s="38" t="str">
        <f>Data!F52</f>
        <v>3.79B</v>
      </c>
      <c r="H41" s="48" t="s">
        <v>19</v>
      </c>
      <c r="I41" s="48" t="s">
        <v>19</v>
      </c>
      <c r="J41" s="48" t="s">
        <v>19</v>
      </c>
      <c r="K41" s="48" t="s">
        <v>19</v>
      </c>
      <c r="L41" s="49" t="s">
        <v>19</v>
      </c>
    </row>
    <row r="42">
      <c r="A42" s="54"/>
      <c r="B42" s="61" t="s">
        <v>34</v>
      </c>
      <c r="C42" s="31" t="str">
        <f>Data!B44</f>
        <v>-</v>
      </c>
      <c r="D42" s="32">
        <f>Data!C44</f>
        <v>1.2779</v>
      </c>
      <c r="E42" s="32">
        <f>Data!D44</f>
        <v>0.192</v>
      </c>
      <c r="F42" s="32">
        <f>Data!E44</f>
        <v>-0.5246</v>
      </c>
      <c r="G42" s="33">
        <f>Data!F44</f>
        <v>-0.4679</v>
      </c>
      <c r="H42" s="32">
        <f>AVERAGEIF(D42:G42,"&lt;0.70")</f>
        <v>-0.2668333333</v>
      </c>
      <c r="I42" s="32">
        <f t="shared" ref="I42:L42" si="17">AVERAGEIF(E42:H42,"&lt;0.80")</f>
        <v>-0.2668333333</v>
      </c>
      <c r="J42" s="32">
        <f t="shared" si="17"/>
        <v>-0.3815416667</v>
      </c>
      <c r="K42" s="32">
        <f t="shared" si="17"/>
        <v>-0.3457770833</v>
      </c>
      <c r="L42" s="33">
        <f t="shared" si="17"/>
        <v>-0.3152463542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.75" customHeight="1">
      <c r="B43" s="21"/>
      <c r="C43" s="37"/>
      <c r="D43" s="37"/>
      <c r="E43" s="37"/>
      <c r="F43" s="37"/>
      <c r="G43" s="38"/>
      <c r="H43" s="37"/>
      <c r="I43" s="37"/>
      <c r="J43" s="37"/>
      <c r="K43" s="37"/>
      <c r="L43" s="38"/>
    </row>
    <row r="44">
      <c r="B44" s="21"/>
      <c r="C44" s="37"/>
      <c r="D44" s="37"/>
      <c r="E44" s="37"/>
      <c r="F44" s="37"/>
      <c r="G44" s="38"/>
      <c r="H44" s="37"/>
      <c r="I44" s="37"/>
      <c r="J44" s="37"/>
      <c r="K44" s="37"/>
      <c r="L44" s="38"/>
    </row>
    <row r="45">
      <c r="A45" s="39"/>
      <c r="B45" s="65" t="s">
        <v>35</v>
      </c>
      <c r="C45" s="37">
        <f>Data!B56</f>
        <v>1.63</v>
      </c>
      <c r="D45" s="37">
        <f>Data!C56</f>
        <v>3.62</v>
      </c>
      <c r="E45" s="37">
        <f>Data!D56</f>
        <v>4.3</v>
      </c>
      <c r="F45" s="37">
        <f>Data!E56</f>
        <v>2.04</v>
      </c>
      <c r="G45" s="38">
        <f>Data!F56</f>
        <v>1.08</v>
      </c>
      <c r="H45" s="66">
        <f>Forecast(H12,$C$45:G45,$C$12:G12)</f>
        <v>1.73</v>
      </c>
      <c r="I45" s="66">
        <f t="shared" ref="I45:L45" si="18">FORECAST(I12,$C$45:H45,$C$12:H12)</f>
        <v>1.462</v>
      </c>
      <c r="J45" s="66">
        <f t="shared" si="18"/>
        <v>1.194</v>
      </c>
      <c r="K45" s="66">
        <f t="shared" si="18"/>
        <v>0.926</v>
      </c>
      <c r="L45" s="67">
        <f t="shared" si="18"/>
        <v>0.658</v>
      </c>
    </row>
    <row r="46">
      <c r="A46" s="29"/>
      <c r="B46" s="68" t="s">
        <v>36</v>
      </c>
      <c r="C46" s="69" t="str">
        <f>Data!B57</f>
        <v>-</v>
      </c>
      <c r="D46" s="70">
        <f>Data!C57</f>
        <v>1.2204</v>
      </c>
      <c r="E46" s="70">
        <f>Data!D57</f>
        <v>0.1885</v>
      </c>
      <c r="F46" s="70">
        <f>Data!E57</f>
        <v>-0.5264</v>
      </c>
      <c r="G46" s="71">
        <f>Data!F57</f>
        <v>-0.4724</v>
      </c>
      <c r="H46" s="72">
        <f t="shared" ref="H46:L46" si="19">H45/G45-1</f>
        <v>0.6018518519</v>
      </c>
      <c r="I46" s="72">
        <f t="shared" si="19"/>
        <v>-0.1549132948</v>
      </c>
      <c r="J46" s="72">
        <f t="shared" si="19"/>
        <v>-0.1833105335</v>
      </c>
      <c r="K46" s="72">
        <f t="shared" si="19"/>
        <v>-0.2244556114</v>
      </c>
      <c r="L46" s="73">
        <f t="shared" si="19"/>
        <v>-0.2894168467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71">
      <c r="F71" s="74"/>
      <c r="G71" s="74"/>
    </row>
    <row r="1006">
      <c r="D1006" s="75">
        <f>1.56*L33</f>
        <v>20857925440</v>
      </c>
    </row>
  </sheetData>
  <mergeCells count="3">
    <mergeCell ref="B11:B12"/>
    <mergeCell ref="C11:G11"/>
    <mergeCell ref="H11:L11"/>
  </mergeCells>
  <conditionalFormatting sqref="F3:F8">
    <cfRule type="cellIs" dxfId="0" priority="1" operator="greaterThan">
      <formula>0</formula>
    </cfRule>
  </conditionalFormatting>
  <conditionalFormatting sqref="F3:F8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>
      <c r="A1" s="11"/>
      <c r="B1" s="11"/>
      <c r="C1" s="76"/>
      <c r="D1" s="76"/>
      <c r="E1" s="76"/>
      <c r="F1" s="76"/>
      <c r="G1" s="76"/>
      <c r="H1" s="76"/>
      <c r="I1" s="76"/>
      <c r="J1" s="76"/>
      <c r="K1" s="76"/>
      <c r="L1" s="76"/>
    </row>
    <row r="2">
      <c r="A2" s="11"/>
      <c r="B2" s="12" t="s">
        <v>37</v>
      </c>
      <c r="C2" s="13" t="s">
        <v>11</v>
      </c>
      <c r="D2" s="14"/>
      <c r="E2" s="14"/>
      <c r="F2" s="14"/>
      <c r="G2" s="15"/>
      <c r="H2" s="16" t="s">
        <v>12</v>
      </c>
      <c r="I2" s="14"/>
      <c r="J2" s="14"/>
      <c r="K2" s="14"/>
      <c r="L2" s="15"/>
    </row>
    <row r="3">
      <c r="A3" s="11"/>
      <c r="B3" s="17"/>
      <c r="C3" s="18">
        <v>2021.0</v>
      </c>
      <c r="D3" s="18">
        <f t="shared" ref="D3:L3" si="1">C3+1</f>
        <v>2022</v>
      </c>
      <c r="E3" s="18">
        <f t="shared" si="1"/>
        <v>2023</v>
      </c>
      <c r="F3" s="18">
        <f t="shared" si="1"/>
        <v>2024</v>
      </c>
      <c r="G3" s="18">
        <f t="shared" si="1"/>
        <v>2025</v>
      </c>
      <c r="H3" s="19">
        <f t="shared" si="1"/>
        <v>2026</v>
      </c>
      <c r="I3" s="18">
        <f t="shared" si="1"/>
        <v>2027</v>
      </c>
      <c r="J3" s="18">
        <f t="shared" si="1"/>
        <v>2028</v>
      </c>
      <c r="K3" s="18">
        <f t="shared" si="1"/>
        <v>2029</v>
      </c>
      <c r="L3" s="20">
        <f t="shared" si="1"/>
        <v>2030</v>
      </c>
    </row>
    <row r="4" ht="3.75" customHeight="1">
      <c r="B4" s="21"/>
      <c r="G4" s="22"/>
      <c r="L4" s="22"/>
    </row>
    <row r="5">
      <c r="B5" s="21"/>
      <c r="G5" s="22"/>
      <c r="L5" s="22"/>
    </row>
    <row r="6">
      <c r="B6" s="24" t="s">
        <v>38</v>
      </c>
      <c r="C6" s="27">
        <f>IFERROR(__xludf.DUMMYFUNCTION("IFERROR(
  LET(
    x, UPPER(SUBSTITUTE(TRIM(Data!B71),CHAR(160),"""")),
    base, VALUE(SUBSTITUTE(REGEXEXTRACT(x,""[0-9.,]+""),"","","""")),
    mult, IF(REGEXMATCH(x,""B""),1000000000, IF(REGEXMATCH(x,""M""),1000000, 1)),
    base * mult
  ),
  0
)"),1.792E10)</f>
        <v>17920000000</v>
      </c>
      <c r="D6" s="27">
        <f>IFERROR(__xludf.DUMMYFUNCTION("IFERROR(
  LET(
    x, UPPER(SUBSTITUTE(TRIM(Data!C71),CHAR(160),"""")),
    base, VALUE(SUBSTITUTE(REGEXEXTRACT(x,""[0-9.,]+""),"","","""")),
    mult, IF(REGEXMATCH(x,""B""),1000000000, IF(REGEXMATCH(x,""M""),1000000, 1)),
    base * mult
  ),
  0
)"),1.655E10)</f>
        <v>16550000000</v>
      </c>
      <c r="E6" s="27">
        <f>IFERROR(__xludf.DUMMYFUNCTION("IFERROR(
  LET(
    x, UPPER(SUBSTITUTE(TRIM(Data!D71),CHAR(160),"""")),
    base, VALUE(SUBSTITUTE(REGEXEXTRACT(x,""[0-9.,]+""),"","","""")),
    mult, IF(REGEXMATCH(x,""B""),1000000000, IF(REGEXMATCH(x,""M""),1000000, 1)),
    base * mult
  ),
  0
)"),1.6940000000000002E10)</f>
        <v>16940000000</v>
      </c>
      <c r="F6" s="27">
        <f>IFERROR(__xludf.DUMMYFUNCTION("IFERROR(
  LET(
    x, UPPER(SUBSTITUTE(TRIM(Data!E71),CHAR(160),"""")),
    base, VALUE(SUBSTITUTE(REGEXEXTRACT(x,""[0-9.,]+""),"","","""")),
    mult, IF(REGEXMATCH(x,""B""),1000000000, IF(REGEXMATCH(x,""M""),1000000, 1)),
    base * mult
  ),
  0
)"),1.6629999999999998E10)</f>
        <v>16630000000</v>
      </c>
      <c r="G6" s="28">
        <f>IFERROR(__xludf.DUMMYFUNCTION("IFERROR(
  LET(
    x, UPPER(SUBSTITUTE(TRIM(Data!F71),CHAR(160),"""")),
    base, VALUE(SUBSTITUTE(REGEXEXTRACT(x,""[0-9.,]+""),"","","""")),
    mult, IF(REGEXMATCH(x,""B""),1000000000, IF(REGEXMATCH(x,""M""),1000000, 1)),
    base * mult
  ),
  0
)"),1.6899999999999998E10)</f>
        <v>16900000000</v>
      </c>
      <c r="H6" s="27">
        <f t="shared" ref="H6:L6" si="2">FORECAST(H3,$C$6:G6,$C$3:G3)</f>
        <v>16400000000</v>
      </c>
      <c r="I6" s="27">
        <f t="shared" si="2"/>
        <v>16204000000</v>
      </c>
      <c r="J6" s="27">
        <f t="shared" si="2"/>
        <v>16008000000</v>
      </c>
      <c r="K6" s="27">
        <f t="shared" si="2"/>
        <v>15812000000</v>
      </c>
      <c r="L6" s="28">
        <f t="shared" si="2"/>
        <v>15616000000</v>
      </c>
    </row>
    <row r="7">
      <c r="B7" s="24" t="s">
        <v>39</v>
      </c>
      <c r="C7" s="37" t="str">
        <f>Data!B72:F72</f>
        <v>-</v>
      </c>
      <c r="D7" s="37" t="str">
        <f>Data!C72</f>
        <v>-</v>
      </c>
      <c r="E7" s="37" t="str">
        <f>Data!D72</f>
        <v>-</v>
      </c>
      <c r="F7" s="37" t="str">
        <f>Data!E72</f>
        <v>-</v>
      </c>
      <c r="G7" s="38" t="str">
        <f>Data!F72</f>
        <v>-</v>
      </c>
      <c r="H7" s="48" t="s">
        <v>19</v>
      </c>
      <c r="I7" s="48" t="s">
        <v>19</v>
      </c>
      <c r="J7" s="48" t="s">
        <v>19</v>
      </c>
      <c r="K7" s="48" t="s">
        <v>19</v>
      </c>
      <c r="L7" s="49" t="s">
        <v>19</v>
      </c>
    </row>
    <row r="8">
      <c r="B8" s="40" t="s">
        <v>40</v>
      </c>
      <c r="C8" s="41">
        <f>IFERROR(__xludf.DUMMYFUNCTION("IFERROR(
  LET(
    x, UPPER(SUBSTITUTE(TRIM(Data!B69),CHAR(160),"""")),
    base, VALUE(SUBSTITUTE(REGEXEXTRACT(x,""[0-9.,]+""),"","","""")),
    mult, IF(REGEXMATCH(x,""B""),1000000000, IF(REGEXMATCH(x,""M""),1000000, 1)),
    base * mult
  ),
  0
)"),1.805E10)</f>
        <v>18050000000</v>
      </c>
      <c r="D8" s="41">
        <f>IFERROR(__xludf.DUMMYFUNCTION("IFERROR(
  LET(
    x, UPPER(SUBSTITUTE(TRIM(Data!C69),CHAR(160),"""")),
    base, VALUE(SUBSTITUTE(REGEXEXTRACT(x,""[0-9.,]+""),"","","""")),
    mult, IF(REGEXMATCH(x,""B""),1000000000, IF(REGEXMATCH(x,""M""),1000000, 1)),
    base * mult
  ),
  0
)"),2.248E10)</f>
        <v>22480000000</v>
      </c>
      <c r="E8" s="41">
        <f>IFERROR(__xludf.DUMMYFUNCTION("IFERROR(
  LET(
    x, UPPER(SUBSTITUTE(TRIM(Data!D69),CHAR(160),"""")),
    base, VALUE(SUBSTITUTE(REGEXEXTRACT(x,""[0-9.,]+""),"","","""")),
    mult, IF(REGEXMATCH(x,""B""),1000000000, IF(REGEXMATCH(x,""M""),1000000, 1)),
    base * mult
  ),
  0
)"),2.964E10)</f>
        <v>29640000000</v>
      </c>
      <c r="F8" s="41">
        <f>IFERROR(__xludf.DUMMYFUNCTION("IFERROR(
  LET(
    x, UPPER(SUBSTITUTE(TRIM(Data!E69),CHAR(160),"""")),
    base, VALUE(SUBSTITUTE(REGEXEXTRACT(x,""[0-9.,]+""),"","","""")),
    mult, IF(REGEXMATCH(x,""B""),1000000000, IF(REGEXMATCH(x,""M""),1000000, 1)),
    base * mult
  ),
  0
)"),3.706E10)</f>
        <v>37060000000</v>
      </c>
      <c r="G8" s="42">
        <f>IFERROR(__xludf.DUMMYFUNCTION("IFERROR(
  LET(
    x, UPPER(SUBSTITUTE(TRIM(Data!F69),CHAR(160),"""")),
    base, VALUE(SUBSTITUTE(REGEXEXTRACT(x,""[0-9.,]+""),"","","""")),
    mult, IF(REGEXMATCH(x,""B""),1000000000, IF(REGEXMATCH(x,""M""),1000000, 1)),
    base * mult
  ),
  0
)"),4.445E10)</f>
        <v>44450000000</v>
      </c>
      <c r="H8" s="52">
        <f t="shared" ref="H8:L8" si="3">H6</f>
        <v>16400000000</v>
      </c>
      <c r="I8" s="52">
        <f t="shared" si="3"/>
        <v>16204000000</v>
      </c>
      <c r="J8" s="52">
        <f t="shared" si="3"/>
        <v>16008000000</v>
      </c>
      <c r="K8" s="52">
        <f t="shared" si="3"/>
        <v>15812000000</v>
      </c>
      <c r="L8" s="53">
        <f t="shared" si="3"/>
        <v>15616000000</v>
      </c>
    </row>
    <row r="9">
      <c r="A9" s="36"/>
      <c r="B9" s="30" t="s">
        <v>41</v>
      </c>
      <c r="C9" s="31" t="str">
        <f>Data!B70</f>
        <v>-</v>
      </c>
      <c r="D9" s="32">
        <f>Data!C70</f>
        <v>0.2452</v>
      </c>
      <c r="E9" s="32">
        <f>Data!D70</f>
        <v>0.3184</v>
      </c>
      <c r="F9" s="32">
        <f>Data!E70</f>
        <v>0.2504</v>
      </c>
      <c r="G9" s="33">
        <f>Data!F70</f>
        <v>0.1994</v>
      </c>
      <c r="H9" s="32">
        <f t="shared" ref="H9:L9" si="4">H8/G8-1</f>
        <v>-0.6310461192</v>
      </c>
      <c r="I9" s="32">
        <f t="shared" si="4"/>
        <v>-0.01195121951</v>
      </c>
      <c r="J9" s="32">
        <f t="shared" si="4"/>
        <v>-0.01209577882</v>
      </c>
      <c r="K9" s="32">
        <f t="shared" si="4"/>
        <v>-0.01224387806</v>
      </c>
      <c r="L9" s="33">
        <f t="shared" si="4"/>
        <v>-0.01239564887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3.75" customHeight="1">
      <c r="B10" s="21"/>
      <c r="C10" s="37"/>
      <c r="D10" s="37"/>
      <c r="E10" s="37"/>
      <c r="F10" s="37"/>
      <c r="G10" s="38"/>
      <c r="H10" s="37"/>
      <c r="I10" s="37"/>
      <c r="J10" s="37"/>
      <c r="K10" s="37"/>
      <c r="L10" s="38"/>
    </row>
    <row r="11">
      <c r="B11" s="21"/>
      <c r="C11" s="37"/>
      <c r="D11" s="37"/>
      <c r="E11" s="37"/>
      <c r="F11" s="37"/>
      <c r="G11" s="38"/>
      <c r="H11" s="37"/>
      <c r="I11" s="37"/>
      <c r="J11" s="37"/>
      <c r="K11" s="37"/>
      <c r="L11" s="38"/>
    </row>
    <row r="12">
      <c r="B12" s="24" t="s">
        <v>42</v>
      </c>
      <c r="C12" s="27">
        <f>IFERROR(__xludf.DUMMYFUNCTION("IFERROR(
  LET(
    x, UPPER(SUBSTITUTE(TRIM(Data!B82),CHAR(160),"""")),
    base, VALUE(SUBSTITUTE(REGEXEXTRACT(x,""[0-9.,]+""),"","","""")),
    mult, IF(REGEXMATCH(x,""B""),1000000000, IF(REGEXMATCH(x,""M""),1000000, 1)),
    base * mult
  ),
  0
)"),1.28E9)</f>
        <v>1280000000</v>
      </c>
      <c r="D12" s="27">
        <f>IFERROR(__xludf.DUMMYFUNCTION("IFERROR(
  LET(
    x, UPPER(SUBSTITUTE(TRIM(Data!C82),CHAR(160),"""")),
    base, VALUE(SUBSTITUTE(REGEXEXTRACT(x,""[0-9.,]+""),"","","""")),
    mult, IF(REGEXMATCH(x,""B""),1000000000, IF(REGEXMATCH(x,""M""),1000000, 1)),
    base * mult
  ),
  0
)"),3.48E9)</f>
        <v>3480000000</v>
      </c>
      <c r="E12" s="27">
        <f>IFERROR(__xludf.DUMMYFUNCTION("IFERROR(
  LET(
    x, UPPER(SUBSTITUTE(TRIM(Data!D82),CHAR(160),"""")),
    base, VALUE(SUBSTITUTE(REGEXEXTRACT(x,""[0-9.,]+""),"","","""")),
    mult, IF(REGEXMATCH(x,""B""),1000000000, IF(REGEXMATCH(x,""M""),1000000, 1)),
    base * mult
  ),
  0
)"),5.05E9)</f>
        <v>5050000000</v>
      </c>
      <c r="F12" s="27">
        <f>IFERROR(__xludf.DUMMYFUNCTION("IFERROR(
  LET(
    x, UPPER(SUBSTITUTE(TRIM(Data!E82),CHAR(160),"""")),
    base, VALUE(SUBSTITUTE(REGEXEXTRACT(x,""[0-9.,]+""),"","","""")),
    mult, IF(REGEXMATCH(x,""B""),1000000000, IF(REGEXMATCH(x,""M""),1000000, 1)),
    base * mult
  ),
  0
)"),3.94E9)</f>
        <v>3940000000</v>
      </c>
      <c r="G12" s="28">
        <f>IFERROR(__xludf.DUMMYFUNCTION("IFERROR(
  LET(
    x, UPPER(SUBSTITUTE(TRIM(Data!F82),CHAR(160),"""")),
    base, VALUE(SUBSTITUTE(REGEXEXTRACT(x,""[0-9.,]+""),"","","""")),
    mult, IF(REGEXMATCH(x,""B""),1000000000, IF(REGEXMATCH(x,""M""),1000000, 1)),
    base * mult
  ),
  0
)"),4.85E9)</f>
        <v>4850000000</v>
      </c>
      <c r="H12" s="27">
        <f t="shared" ref="H12:L12" si="5">AVERAGE(C12:G12)</f>
        <v>3720000000</v>
      </c>
      <c r="I12" s="27">
        <f t="shared" si="5"/>
        <v>4208000000</v>
      </c>
      <c r="J12" s="27">
        <f t="shared" si="5"/>
        <v>4353600000</v>
      </c>
      <c r="K12" s="27">
        <f t="shared" si="5"/>
        <v>4214320000</v>
      </c>
      <c r="L12" s="28">
        <f t="shared" si="5"/>
        <v>4269184000</v>
      </c>
    </row>
    <row r="13">
      <c r="B13" s="24" t="s">
        <v>43</v>
      </c>
      <c r="C13" s="27" t="str">
        <f>IFERROR(__xludf.DUMMYFUNCTION("regexreplace(Data!B83,""M"","""")*1000000"),"#VALUE!")</f>
        <v>#VALUE!</v>
      </c>
      <c r="D13" s="27">
        <f>IFERROR(__xludf.DUMMYFUNCTION("IFERROR(
  LET(
    x, UPPER(SUBSTITUTE(TRIM(Data!C83),CHAR(160),"""")),
    base, VALUE(SUBSTITUTE(REGEXEXTRACT(x,""[0-9.,]+""),"","","""")),
    mult, IF(REGEXMATCH(x,""B""),1000000000, IF(REGEXMATCH(x,""M""),1000000, 1)),
    base * mult
  ),
  0
)"),2.39E9)</f>
        <v>2390000000</v>
      </c>
      <c r="E13" s="27">
        <f>IFERROR(__xludf.DUMMYFUNCTION("IFERROR(
  LET(
    x, UPPER(SUBSTITUTE(TRIM(Data!D83),CHAR(160),"""")),
    base, VALUE(SUBSTITUTE(REGEXEXTRACT(x,""[0-9.,]+""),"","","""")),
    mult, IF(REGEXMATCH(x,""B""),1000000000, IF(REGEXMATCH(x,""M""),1000000, 1)),
    base * mult
  ),
  0
)"),2.02E9)</f>
        <v>2020000000</v>
      </c>
      <c r="F13" s="27">
        <f>IFERROR(__xludf.DUMMYFUNCTION("IFERROR(
  LET(
    x, UPPER(SUBSTITUTE(TRIM(Data!E83),CHAR(160),"""")),
    base, VALUE(SUBSTITUTE(REGEXEXTRACT(x,""[0-9.,]+""),"","","""")),
    mult, IF(REGEXMATCH(x,""B""),1000000000, IF(REGEXMATCH(x,""M""),1000000, 1)),
    base * mult
  ),
  0
)"),1.53E9)</f>
        <v>1530000000</v>
      </c>
      <c r="G13" s="28">
        <f>IFERROR(__xludf.DUMMYFUNCTION("IFERROR(
  LET(
    x, UPPER(SUBSTITUTE(TRIM(Data!F83),CHAR(160),"""")),
    base, VALUE(SUBSTITUTE(REGEXEXTRACT(x,""[0-9.,]+""),"","","""")),
    mult, IF(REGEXMATCH(x,""B""),1000000000, IF(REGEXMATCH(x,""M""),1000000, 1)),
    base * mult
  ),
  0
)"),1.73E9)</f>
        <v>1730000000</v>
      </c>
      <c r="H13" s="37" t="str">
        <f t="shared" ref="H13:L13" si="6">AVERAGE(C13:G13)</f>
        <v>#VALUE!</v>
      </c>
      <c r="I13" s="37" t="str">
        <f t="shared" si="6"/>
        <v>#VALUE!</v>
      </c>
      <c r="J13" s="37" t="str">
        <f t="shared" si="6"/>
        <v>#VALUE!</v>
      </c>
      <c r="K13" s="37" t="str">
        <f t="shared" si="6"/>
        <v>#VALUE!</v>
      </c>
      <c r="L13" s="38" t="str">
        <f t="shared" si="6"/>
        <v>#VALUE!</v>
      </c>
    </row>
    <row r="14">
      <c r="B14" s="24" t="s">
        <v>44</v>
      </c>
      <c r="C14" s="27">
        <f>IFERROR(__xludf.DUMMYFUNCTION("IFERROR(
  LET(
    x, UPPER(SUBSTITUTE(TRIM(Data!B84),CHAR(160),"""")),
    base, VALUE(SUBSTITUTE(REGEXEXTRACT(x,""[0-9.,]+""),"","","""")),
    mult, IF(REGEXMATCH(x,""B""),1000000000, IF(REGEXMATCH(x,""M""),1000000, 1)),
    base * mult
  ),
  0
)"),3.39E9)</f>
        <v>3390000000</v>
      </c>
      <c r="D14" s="27">
        <f>IFERROR(__xludf.DUMMYFUNCTION("IFERROR(
  LET(
    x, UPPER(SUBSTITUTE(TRIM(Data!C84),CHAR(160),"""")),
    base, VALUE(SUBSTITUTE(REGEXEXTRACT(x,""[0-9.,]+""),"","","""")),
    mult, IF(REGEXMATCH(x,""B""),1000000000, IF(REGEXMATCH(x,""M""),1000000, 1)),
    base * mult
  ),
  0
)"),6.98E9)</f>
        <v>6980000000</v>
      </c>
      <c r="E14" s="27">
        <f>IFERROR(__xludf.DUMMYFUNCTION("IFERROR(
  LET(
    x, UPPER(SUBSTITUTE(TRIM(Data!D84),CHAR(160),"""")),
    base, VALUE(SUBSTITUTE(REGEXEXTRACT(x,""[0-9.,]+""),"","","""")),
    mult, IF(REGEXMATCH(x,""B""),1000000000, IF(REGEXMATCH(x,""M""),1000000, 1)),
    base * mult
  ),
  0
)"),6.56E9)</f>
        <v>6560000000</v>
      </c>
      <c r="F14" s="27">
        <f>IFERROR(__xludf.DUMMYFUNCTION("IFERROR(
  LET(
    x, UPPER(SUBSTITUTE(TRIM(Data!E84),CHAR(160),"""")),
    base, VALUE(SUBSTITUTE(REGEXEXTRACT(x,""[0-9.,]+""),"","","""")),
    mult, IF(REGEXMATCH(x,""B""),1000000000, IF(REGEXMATCH(x,""M""),1000000, 1)),
    base * mult
  ),
  0
)"),6.55E9)</f>
        <v>6550000000</v>
      </c>
      <c r="G14" s="28">
        <f>IFERROR(__xludf.DUMMYFUNCTION("IFERROR(
  LET(
    x, UPPER(SUBSTITUTE(TRIM(Data!F84),CHAR(160),"""")),
    base, VALUE(SUBSTITUTE(REGEXEXTRACT(x,""[0-9.,]+""),"","","""")),
    mult, IF(REGEXMATCH(x,""B""),1000000000, IF(REGEXMATCH(x,""M""),1000000, 1)),
    base * mult
  ),
  0
)"),5.82E9)</f>
        <v>5820000000</v>
      </c>
      <c r="H14" s="27">
        <f t="shared" ref="H14:L14" si="7">AVERAGE(C14:G14)</f>
        <v>5860000000</v>
      </c>
      <c r="I14" s="27">
        <f t="shared" si="7"/>
        <v>6354000000</v>
      </c>
      <c r="J14" s="27">
        <f t="shared" si="7"/>
        <v>6228800000</v>
      </c>
      <c r="K14" s="27">
        <f t="shared" si="7"/>
        <v>6162560000</v>
      </c>
      <c r="L14" s="28">
        <f t="shared" si="7"/>
        <v>6085072000</v>
      </c>
    </row>
    <row r="15">
      <c r="B15" s="40" t="s">
        <v>45</v>
      </c>
      <c r="C15" s="52">
        <f>IFERROR(__xludf.DUMMYFUNCTION("IFERROR(
  LET(
    x, UPPER(SUBSTITUTE(TRIM(Data!B81),CHAR(160),"""")),
    base, VALUE(SUBSTITUTE(REGEXEXTRACT(x,""[0-9.,]+""),"","","""")),
    mult, IF(REGEXMATCH(x,""B""),1000000000, IF(REGEXMATCH(x,""M""),1000000, 1)),
    base * mult
  ),
  0
)"),5.76E9)</f>
        <v>5760000000</v>
      </c>
      <c r="D15" s="52">
        <f>IFERROR(__xludf.DUMMYFUNCTION("IFERROR(
  LET(
    x, UPPER(SUBSTITUTE(TRIM(Data!C81),CHAR(160),"""")),
    base, VALUE(SUBSTITUTE(REGEXEXTRACT(x,""[0-9.,]+""),"","","""")),
    mult, IF(REGEXMATCH(x,""B""),1000000000, IF(REGEXMATCH(x,""M""),1000000, 1)),
    base * mult
  ),
  0
)"),1.284E10)</f>
        <v>12840000000</v>
      </c>
      <c r="E15" s="52">
        <f>IFERROR(__xludf.DUMMYFUNCTION("IFERROR(
  LET(
    x, UPPER(SUBSTITUTE(TRIM(Data!D81),CHAR(160),"""")),
    base, VALUE(SUBSTITUTE(REGEXEXTRACT(x,""[0-9.,]+""),"","","""")),
    mult, IF(REGEXMATCH(x,""B""),1000000000, IF(REGEXMATCH(x,""M""),1000000, 1)),
    base * mult
  ),
  0
)"),1.363E10)</f>
        <v>13630000000</v>
      </c>
      <c r="F15" s="52">
        <f>IFERROR(__xludf.DUMMYFUNCTION("IFERROR(
  LET(
    x, UPPER(SUBSTITUTE(TRIM(Data!E81),CHAR(160),"""")),
    base, VALUE(SUBSTITUTE(REGEXEXTRACT(x,""[0-9.,]+""),"","","""")),
    mult, IF(REGEXMATCH(x,""B""),1000000000, IF(REGEXMATCH(x,""M""),1000000, 1)),
    base * mult
  ),
  0
)"),1.202E10)</f>
        <v>12020000000</v>
      </c>
      <c r="G15" s="53">
        <f>IFERROR(__xludf.DUMMYFUNCTION("IFERROR(
  LET(
    x, UPPER(SUBSTITUTE(TRIM(Data!F81),CHAR(160),"""")),
    base, VALUE(SUBSTITUTE(REGEXEXTRACT(x,""[0-9.,]+""),"","","""")),
    mult, IF(REGEXMATCH(x,""B""),1000000000, IF(REGEXMATCH(x,""M""),1000000, 1)),
    base * mult
  ),
  0
)"),1.239E10)</f>
        <v>12390000000</v>
      </c>
      <c r="H15" s="52">
        <f t="shared" ref="H15:L15" si="8">AVERAGE(C15:G15)</f>
        <v>11328000000</v>
      </c>
      <c r="I15" s="52">
        <f t="shared" si="8"/>
        <v>12441600000</v>
      </c>
      <c r="J15" s="52">
        <f t="shared" si="8"/>
        <v>12361920000</v>
      </c>
      <c r="K15" s="52">
        <f t="shared" si="8"/>
        <v>12108304000</v>
      </c>
      <c r="L15" s="53">
        <f t="shared" si="8"/>
        <v>12125964800</v>
      </c>
    </row>
    <row r="16" ht="3.75" customHeight="1">
      <c r="B16" s="21"/>
      <c r="C16" s="37"/>
      <c r="D16" s="37"/>
      <c r="E16" s="37"/>
      <c r="F16" s="37"/>
      <c r="G16" s="38"/>
      <c r="H16" s="37"/>
      <c r="I16" s="37"/>
      <c r="J16" s="37"/>
      <c r="K16" s="37"/>
      <c r="L16" s="38"/>
    </row>
    <row r="17">
      <c r="B17" s="21"/>
      <c r="C17" s="37"/>
      <c r="D17" s="37"/>
      <c r="E17" s="37"/>
      <c r="F17" s="37"/>
      <c r="G17" s="38"/>
      <c r="H17" s="37"/>
      <c r="I17" s="37"/>
      <c r="J17" s="37"/>
      <c r="K17" s="37"/>
      <c r="L17" s="38"/>
    </row>
    <row r="18">
      <c r="B18" s="24" t="s">
        <v>46</v>
      </c>
      <c r="C18" s="27">
        <f>IFERROR(__xludf.DUMMYFUNCTION("IFERROR(
  LET(
    x, UPPER(SUBSTITUTE(TRIM(Data!B76),CHAR(160),"""")),
    base, VALUE(SUBSTITUTE(REGEXEXTRACT(x,""[0-9.,]+""),"","","""")),
    mult, IF(REGEXMATCH(x,""B""),1000000000, IF(REGEXMATCH(x,""M""),1000000, 1)),
    base * mult
  ),
  0
)"),1.91E9)</f>
        <v>1910000000</v>
      </c>
      <c r="D18" s="27">
        <f>IFERROR(__xludf.DUMMYFUNCTION("IFERROR(
  LET(
    x, UPPER(SUBSTITUTE(TRIM(Data!C76),CHAR(160),"""")),
    base, VALUE(SUBSTITUTE(REGEXEXTRACT(x,""[0-9.,]+""),"","","""")),
    mult, IF(REGEXMATCH(x,""B""),1000000000, IF(REGEXMATCH(x,""M""),1000000, 1)),
    base * mult
  ),
  0
)"),2.95E9)</f>
        <v>2950000000</v>
      </c>
      <c r="E18" s="27">
        <f>IFERROR(__xludf.DUMMYFUNCTION("IFERROR(
  LET(
    x, UPPER(SUBSTITUTE(TRIM(Data!D76),CHAR(160),"""")),
    base, VALUE(SUBSTITUTE(REGEXEXTRACT(x,""[0-9.,]+""),"","","""")),
    mult, IF(REGEXMATCH(x,""B""),1000000000, IF(REGEXMATCH(x,""M""),1000000, 1)),
    base * mult
  ),
  0
)"),3.51E9)</f>
        <v>3510000000</v>
      </c>
      <c r="F18" s="27">
        <f>IFERROR(__xludf.DUMMYFUNCTION("IFERROR(
  LET(
    x, UPPER(SUBSTITUTE(TRIM(Data!E76),CHAR(160),"""")),
    base, VALUE(SUBSTITUTE(REGEXEXTRACT(x,""[0-9.,]+""),"","","""")),
    mult, IF(REGEXMATCH(x,""B""),1000000000, IF(REGEXMATCH(x,""M""),1000000, 1)),
    base * mult
  ),
  0
)"),4.42E9)</f>
        <v>4420000000</v>
      </c>
      <c r="G18" s="28">
        <f>IFERROR(__xludf.DUMMYFUNCTION("IFERROR(
  LET(
    x, UPPER(SUBSTITUTE(TRIM(Data!F76),CHAR(160),"""")),
    base, VALUE(SUBSTITUTE(REGEXEXTRACT(x,""[0-9.,]+""),"","","""")),
    mult, IF(REGEXMATCH(x,""B""),1000000000, IF(REGEXMATCH(x,""M""),1000000, 1)),
    base * mult
  ),
  0
)"),4.58E9)</f>
        <v>4580000000</v>
      </c>
      <c r="H18" s="27">
        <f t="shared" ref="H18:L18" si="9">FORECAST(H3,$C$18:G18,$C$3:G3)</f>
        <v>5517000000</v>
      </c>
      <c r="I18" s="27">
        <f t="shared" si="9"/>
        <v>6198000000</v>
      </c>
      <c r="J18" s="27">
        <f t="shared" si="9"/>
        <v>6879000000</v>
      </c>
      <c r="K18" s="27">
        <f t="shared" si="9"/>
        <v>7560000000</v>
      </c>
      <c r="L18" s="28">
        <f t="shared" si="9"/>
        <v>8241000000</v>
      </c>
    </row>
    <row r="19">
      <c r="B19" s="24" t="s">
        <v>47</v>
      </c>
      <c r="C19" s="37" t="str">
        <f>Data!B79</f>
        <v>-</v>
      </c>
      <c r="D19" s="37" t="str">
        <f>Data!C79</f>
        <v>-</v>
      </c>
      <c r="E19" s="37" t="str">
        <f>Data!D79</f>
        <v>-</v>
      </c>
      <c r="F19" s="37" t="str">
        <f>Data!E79</f>
        <v>-</v>
      </c>
      <c r="G19" s="38" t="str">
        <f>Data!F79</f>
        <v>130M</v>
      </c>
      <c r="H19" s="48" t="s">
        <v>19</v>
      </c>
      <c r="I19" s="48" t="s">
        <v>19</v>
      </c>
      <c r="J19" s="48" t="s">
        <v>19</v>
      </c>
      <c r="K19" s="48" t="s">
        <v>19</v>
      </c>
      <c r="L19" s="49" t="s">
        <v>19</v>
      </c>
    </row>
    <row r="20">
      <c r="B20" s="40" t="s">
        <v>48</v>
      </c>
      <c r="C20" s="52">
        <f>IFERROR(__xludf.DUMMYFUNCTION("IFERROR(
  LET(
    x, UPPER(SUBSTITUTE(TRIM(Data!B74),CHAR(160),"""")),
    base, VALUE(SUBSTITUTE(REGEXEXTRACT(x,""[0-9.,]+""),"","","""")),
    mult, IF(REGEXMATCH(x,""B""),1000000000, IF(REGEXMATCH(x,""M""),1000000, 1)),
    base * mult
  ),
  0
)"),1.91E9)</f>
        <v>1910000000</v>
      </c>
      <c r="D20" s="52">
        <f>IFERROR(__xludf.DUMMYFUNCTION("IFERROR(
  LET(
    x, UPPER(SUBSTITUTE(TRIM(Data!C74),CHAR(160),"""")),
    base, VALUE(SUBSTITUTE(REGEXEXTRACT(x,""[0-9.,]+""),"","","""")),
    mult, IF(REGEXMATCH(x,""B""),1000000000, IF(REGEXMATCH(x,""M""),1000000, 1)),
    base * mult
  ),
  0
)"),2.95E9)</f>
        <v>2950000000</v>
      </c>
      <c r="E20" s="52">
        <f>IFERROR(__xludf.DUMMYFUNCTION("IFERROR(
  LET(
    x, UPPER(SUBSTITUTE(TRIM(Data!D74),CHAR(160),"""")),
    base, VALUE(SUBSTITUTE(REGEXEXTRACT(x,""[0-9.,]+""),"","","""")),
    mult, IF(REGEXMATCH(x,""B""),1000000000, IF(REGEXMATCH(x,""M""),1000000, 1)),
    base * mult
  ),
  0
)"),3.51E9)</f>
        <v>3510000000</v>
      </c>
      <c r="F20" s="52">
        <f>IFERROR(__xludf.DUMMYFUNCTION("IFERROR(
  LET(
    x, UPPER(SUBSTITUTE(TRIM(Data!E74),CHAR(160),"""")),
    base, VALUE(SUBSTITUTE(REGEXEXTRACT(x,""[0-9.,]+""),"","","""")),
    mult, IF(REGEXMATCH(x,""B""),1000000000, IF(REGEXMATCH(x,""M""),1000000, 1)),
    base * mult
  ),
  0
)"),4.42E9)</f>
        <v>4420000000</v>
      </c>
      <c r="G20" s="52">
        <f>IFERROR(__xludf.DUMMYFUNCTION("IFERROR(
  LET(
    x, UPPER(SUBSTITUTE(TRIM(Data!F74),CHAR(160),"""")),
    base, VALUE(SUBSTITUTE(REGEXEXTRACT(x,""[0-9.,]+""),"","","""")),
    mult, IF(REGEXMATCH(x,""B""),1000000000, IF(REGEXMATCH(x,""M""),1000000, 1)),
    base * mult
  ),
  0
)"),4.71E9)</f>
        <v>4710000000</v>
      </c>
      <c r="H20" s="77">
        <f t="shared" ref="H20:L20" si="10">FORECAST(H3,$C$20:G20,$C$3:G3)</f>
        <v>5621000000</v>
      </c>
      <c r="I20" s="52">
        <f t="shared" si="10"/>
        <v>6328000000</v>
      </c>
      <c r="J20" s="52">
        <f t="shared" si="10"/>
        <v>7035000000</v>
      </c>
      <c r="K20" s="52">
        <f t="shared" si="10"/>
        <v>7742000000</v>
      </c>
      <c r="L20" s="53">
        <f t="shared" si="10"/>
        <v>8449000000</v>
      </c>
    </row>
    <row r="21">
      <c r="A21" s="36"/>
      <c r="B21" s="30" t="s">
        <v>49</v>
      </c>
      <c r="C21" s="31" t="str">
        <f>Data!B75</f>
        <v>-</v>
      </c>
      <c r="D21" s="32">
        <f>Data!C75</f>
        <v>0.5431</v>
      </c>
      <c r="E21" s="32">
        <f>Data!D75</f>
        <v>0.1883</v>
      </c>
      <c r="F21" s="32">
        <f>Data!E75</f>
        <v>0.2594</v>
      </c>
      <c r="G21" s="33">
        <f>Data!F75</f>
        <v>0.0652</v>
      </c>
      <c r="H21" s="32">
        <f t="shared" ref="H21:L21" si="11">H20/G20-1</f>
        <v>0.193418259</v>
      </c>
      <c r="I21" s="32">
        <f t="shared" si="11"/>
        <v>0.1257783313</v>
      </c>
      <c r="J21" s="32">
        <f t="shared" si="11"/>
        <v>0.1117256637</v>
      </c>
      <c r="K21" s="32">
        <f t="shared" si="11"/>
        <v>0.1004975124</v>
      </c>
      <c r="L21" s="33">
        <f t="shared" si="11"/>
        <v>0.09132007233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3.75" customHeight="1">
      <c r="B22" s="21"/>
      <c r="C22" s="37"/>
      <c r="D22" s="37"/>
      <c r="E22" s="37"/>
      <c r="F22" s="37"/>
      <c r="G22" s="38"/>
      <c r="H22" s="37"/>
      <c r="I22" s="37"/>
      <c r="J22" s="37"/>
      <c r="K22" s="37"/>
      <c r="L22" s="38"/>
    </row>
    <row r="23">
      <c r="B23" s="21"/>
      <c r="C23" s="37"/>
      <c r="D23" s="37"/>
      <c r="E23" s="37"/>
      <c r="F23" s="37"/>
      <c r="G23" s="38"/>
      <c r="H23" s="37"/>
      <c r="I23" s="37"/>
      <c r="J23" s="37"/>
      <c r="K23" s="37"/>
      <c r="L23" s="38"/>
    </row>
    <row r="24">
      <c r="B24" s="24" t="s">
        <v>50</v>
      </c>
      <c r="C24" s="78">
        <f>IFERROR(__xludf.DUMMYFUNCTION("IFERROR(
  LET(
    x, UPPER(SUBSTITUTE(TRIM(Data!B86),CHAR(160),"""")),
    base, VALUE(SUBSTITUTE(REGEXEXTRACT(x,""[0-9.,]+""),"","","""")),
    mult, IF(REGEXMATCH(x,""B""),1000000000, IF(REGEXMATCH(x,""M""),1000000, 1)),
    base * mult
  ),
  0
)"),1.38E9)</f>
        <v>1380000000</v>
      </c>
      <c r="D24" s="78">
        <f>IFERROR(__xludf.DUMMYFUNCTION("IFERROR(
  LET(
    x, UPPER(SUBSTITUTE(TRIM(Data!C86),CHAR(160),"""")),
    base, VALUE(SUBSTITUTE(REGEXEXTRACT(x,""[0-9.,]+""),"","","""")),
    mult, IF(REGEXMATCH(x,""B""),1000000000, IF(REGEXMATCH(x,""M""),1000000, 1)),
    base * mult
  ),
  0
)"),2.65E9)</f>
        <v>2650000000</v>
      </c>
      <c r="E24" s="78">
        <f>IFERROR(__xludf.DUMMYFUNCTION("IFERROR(
  LET(
    x, UPPER(SUBSTITUTE(TRIM(Data!D86),CHAR(160),"""")),
    base, VALUE(SUBSTITUTE(REGEXEXTRACT(x,""[0-9.,]+""),"","","""")),
    mult, IF(REGEXMATCH(x,""B""),1000000000, IF(REGEXMATCH(x,""M""),1000000, 1)),
    base * mult
  ),
  0
)"),2.85E9)</f>
        <v>2850000000</v>
      </c>
      <c r="F24" s="78">
        <f>IFERROR(__xludf.DUMMYFUNCTION("IFERROR(
  LET(
    x, UPPER(SUBSTITUTE(TRIM(Data!E86),CHAR(160),"""")),
    base, VALUE(SUBSTITUTE(REGEXEXTRACT(x,""[0-9.,]+""),"","","""")),
    mult, IF(REGEXMATCH(x,""B""),1000000000, IF(REGEXMATCH(x,""M""),1000000, 1)),
    base * mult
  ),
  0
)"),4.87E9)</f>
        <v>4870000000</v>
      </c>
      <c r="G24" s="79">
        <f>IFERROR(__xludf.DUMMYFUNCTION("IFERROR(
  LET(
    x, UPPER(SUBSTITUTE(TRIM(Data!F86),CHAR(160),"""")),
    base, VALUE(SUBSTITUTE(REGEXEXTRACT(x,""[0-9.,]+""),"","","""")),
    mult, IF(REGEXMATCH(x,""B""),1000000000, IF(REGEXMATCH(x,""M""),1000000, 1)),
    base * mult
  ),
  0
)"),7.1E9)</f>
        <v>7100000000</v>
      </c>
      <c r="H24" s="78">
        <f t="shared" ref="H24:L24" si="12">AVERAGE(C24:G24)</f>
        <v>3770000000</v>
      </c>
      <c r="I24" s="78">
        <f t="shared" si="12"/>
        <v>4248000000</v>
      </c>
      <c r="J24" s="78">
        <f t="shared" si="12"/>
        <v>4567600000</v>
      </c>
      <c r="K24" s="78">
        <f t="shared" si="12"/>
        <v>4911120000</v>
      </c>
      <c r="L24" s="79">
        <f t="shared" si="12"/>
        <v>4919344000</v>
      </c>
    </row>
    <row r="25">
      <c r="B25" s="40" t="s">
        <v>51</v>
      </c>
      <c r="C25" s="52">
        <f>IFERROR(__xludf.DUMMYFUNCTION("IFERROR(
  LET(
    x, UPPER(SUBSTITUTE(TRIM(Data!B88),CHAR(160),"""")),
    base, VALUE(SUBSTITUTE(REGEXEXTRACT(x,""[0-9.,]+""),"","","""")),
    mult, IF(REGEXMATCH(x,""B""),1000000000, IF(REGEXMATCH(x,""M""),1000000, 1)),
    base * mult
  ),
  0
)"),2.71E10)</f>
        <v>27100000000</v>
      </c>
      <c r="D25" s="52">
        <f>IFERROR(__xludf.DUMMYFUNCTION("IFERROR(
  LET(
    x, UPPER(SUBSTITUTE(TRIM(Data!C88),CHAR(160),"""")),
    base, VALUE(SUBSTITUTE(REGEXEXTRACT(x,""[0-9.,]+""),"","","""")),
    mult, IF(REGEXMATCH(x,""B""),1000000000, IF(REGEXMATCH(x,""M""),1000000, 1)),
    base * mult
  ),
  0
)"),4.092E10)</f>
        <v>40920000000</v>
      </c>
      <c r="E25" s="52">
        <f>IFERROR(__xludf.DUMMYFUNCTION("IFERROR(
  LET(
    x, UPPER(SUBSTITUTE(TRIM(Data!D88),CHAR(160),"""")),
    base, VALUE(SUBSTITUTE(REGEXEXTRACT(x,""[0-9.,]+""),"","","""")),
    mult, IF(REGEXMATCH(x,""B""),1000000000, IF(REGEXMATCH(x,""M""),1000000, 1)),
    base * mult
  ),
  0
)"),4.962E10)</f>
        <v>49620000000</v>
      </c>
      <c r="F25" s="52">
        <f>IFERROR(__xludf.DUMMYFUNCTION("IFERROR(
  LET(
    x, UPPER(SUBSTITUTE(TRIM(Data!E88),CHAR(160),"""")),
    base, VALUE(SUBSTITUTE(REGEXEXTRACT(x,""[0-9.,]+""),"","","""")),
    mult, IF(REGEXMATCH(x,""B""),1000000000, IF(REGEXMATCH(x,""M""),1000000, 1)),
    base * mult
  ),
  0
)"),5.836E10)</f>
        <v>58360000000</v>
      </c>
      <c r="G25" s="53">
        <f>IFERROR(__xludf.DUMMYFUNCTION("IFERROR(
  LET(
    x, UPPER(SUBSTITUTE(TRIM(Data!F88),CHAR(160),"""")),
    base, VALUE(SUBSTITUTE(REGEXEXTRACT(x,""[0-9.,]+""),"","","""")),
    mult, IF(REGEXMATCH(x,""B""),1000000000, IF(REGEXMATCH(x,""M""),1000000, 1)),
    base * mult
  ),
  0
)"),6.864E10)</f>
        <v>68640000000</v>
      </c>
      <c r="H25" s="52">
        <f t="shared" ref="H25:L25" si="13">FORECAST(H3,$C$25:G25,$C$3:G3)</f>
        <v>79084000000</v>
      </c>
      <c r="I25" s="52">
        <f t="shared" si="13"/>
        <v>89136000000</v>
      </c>
      <c r="J25" s="52">
        <f t="shared" si="13"/>
        <v>99188000000</v>
      </c>
      <c r="K25" s="52">
        <f t="shared" si="13"/>
        <v>109240000000</v>
      </c>
      <c r="L25" s="53">
        <f t="shared" si="13"/>
        <v>119292000000</v>
      </c>
    </row>
    <row r="26">
      <c r="A26" s="36"/>
      <c r="B26" s="30" t="s">
        <v>52</v>
      </c>
      <c r="C26" s="80" t="s">
        <v>19</v>
      </c>
      <c r="D26" s="32">
        <f t="shared" ref="D26:L26" si="14">D25/C25-1</f>
        <v>0.5099630996</v>
      </c>
      <c r="E26" s="32">
        <f t="shared" si="14"/>
        <v>0.2126099707</v>
      </c>
      <c r="F26" s="32">
        <f t="shared" si="14"/>
        <v>0.1761386538</v>
      </c>
      <c r="G26" s="33">
        <f t="shared" si="14"/>
        <v>0.1761480466</v>
      </c>
      <c r="H26" s="32">
        <f t="shared" si="14"/>
        <v>0.1521561772</v>
      </c>
      <c r="I26" s="32">
        <f t="shared" si="14"/>
        <v>0.1271053563</v>
      </c>
      <c r="J26" s="32">
        <f t="shared" si="14"/>
        <v>0.1127714952</v>
      </c>
      <c r="K26" s="32">
        <f t="shared" si="14"/>
        <v>0.1013429044</v>
      </c>
      <c r="L26" s="33">
        <f t="shared" si="14"/>
        <v>0.09201757598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3.75" customHeight="1">
      <c r="B27" s="21"/>
      <c r="C27" s="37"/>
      <c r="D27" s="37"/>
      <c r="E27" s="37"/>
      <c r="F27" s="37"/>
      <c r="G27" s="38"/>
      <c r="H27" s="37"/>
      <c r="I27" s="37"/>
      <c r="J27" s="37"/>
      <c r="K27" s="37"/>
      <c r="L27" s="38"/>
    </row>
    <row r="28">
      <c r="B28" s="21"/>
      <c r="C28" s="37"/>
      <c r="D28" s="37"/>
      <c r="E28" s="37"/>
      <c r="F28" s="37"/>
      <c r="G28" s="38"/>
      <c r="H28" s="37"/>
      <c r="I28" s="37"/>
      <c r="J28" s="37"/>
      <c r="K28" s="37"/>
      <c r="L28" s="38"/>
    </row>
    <row r="29">
      <c r="B29" s="24" t="s">
        <v>53</v>
      </c>
      <c r="C29" s="27">
        <f>IFERROR(__xludf.DUMMYFUNCTION("IFERROR(
  LET(
    x, UPPER(SUBSTITUTE(TRIM(Data!B90),CHAR(160),"""")),
    base, VALUE(SUBSTITUTE(REGEXEXTRACT(x,""[0-9.,]+""),"","","""")),
    mult, IF(REGEXMATCH(x,""B""),1000000000, IF(REGEXMATCH(x,""M""),1000000, 1)),
    base * mult
  ),
  0
)"),3.987E10)</f>
        <v>39870000000</v>
      </c>
      <c r="D29" s="27">
        <f>IFERROR(__xludf.DUMMYFUNCTION("IFERROR(
  LET(
    x, UPPER(SUBSTITUTE(TRIM(Data!C90),CHAR(160),"""")),
    base, VALUE(SUBSTITUTE(REGEXEXTRACT(x,""[0-9.,]+""),"","","""")),
    mult, IF(REGEXMATCH(x,""B""),1000000000, IF(REGEXMATCH(x,""M""),1000000, 1)),
    base * mult
  ),
  0
)"),4.813E10)</f>
        <v>48130000000</v>
      </c>
      <c r="E29" s="27">
        <f>IFERROR(__xludf.DUMMYFUNCTION("IFERROR(
  LET(
    x, UPPER(SUBSTITUTE(TRIM(Data!D90),CHAR(160),"""")),
    base, VALUE(SUBSTITUTE(REGEXEXTRACT(x,""[0-9.,]+""),"","","""")),
    mult, IF(REGEXMATCH(x,""B""),1000000000, IF(REGEXMATCH(x,""M""),1000000, 1)),
    base * mult
  ),
  0
)"),6.02E10)</f>
        <v>60200000000</v>
      </c>
      <c r="F29" s="27">
        <f>IFERROR(__xludf.DUMMYFUNCTION("IFERROR(
  LET(
    x, UPPER(SUBSTITUTE(TRIM(Data!E90),CHAR(160),"""")),
    base, VALUE(SUBSTITUTE(REGEXEXTRACT(x,""[0-9.,]+""),"","","""")),
    mult, IF(REGEXMATCH(x,""B""),1000000000, IF(REGEXMATCH(x,""M""),1000000, 1)),
    base * mult
  ),
  0
)"),7.04E10)</f>
        <v>70400000000</v>
      </c>
      <c r="G29" s="28">
        <f>IFERROR(__xludf.DUMMYFUNCTION("IFERROR(
  LET(
    x, UPPER(SUBSTITUTE(TRIM(Data!F90),CHAR(160),"""")),
    base, VALUE(SUBSTITUTE(REGEXEXTRACT(x,""[0-9.,]+""),"","","""")),
    mult, IF(REGEXMATCH(x,""B""),1000000000, IF(REGEXMATCH(x,""M""),1000000, 1)),
    base * mult
  ),
  0
)"),7.963E10)</f>
        <v>79630000000</v>
      </c>
      <c r="H29" s="27">
        <f t="shared" ref="H29:L29" si="15">AVERAGE(C29:G29)</f>
        <v>59646000000</v>
      </c>
      <c r="I29" s="27">
        <f t="shared" si="15"/>
        <v>63601200000</v>
      </c>
      <c r="J29" s="27">
        <f t="shared" si="15"/>
        <v>66695440000</v>
      </c>
      <c r="K29" s="27">
        <f t="shared" si="15"/>
        <v>67994528000</v>
      </c>
      <c r="L29" s="28">
        <f t="shared" si="15"/>
        <v>67513433600</v>
      </c>
    </row>
    <row r="30">
      <c r="B30" s="24" t="s">
        <v>54</v>
      </c>
      <c r="C30" s="27">
        <f>IFERROR(__xludf.DUMMYFUNCTION("IFERROR(
  LET(
    x, UPPER(SUBSTITUTE(TRIM(Data!B95),CHAR(160),"""")),
    base, VALUE(SUBSTITUTE(REGEXEXTRACT(x,""[0-9.,]+""),"","","""")),
    mult, IF(REGEXMATCH(x,""B""),1000000000, IF(REGEXMATCH(x,""M""),1000000, 1)),
    base * mult
  ),
  0
)"),8.69E9)</f>
        <v>8690000000</v>
      </c>
      <c r="D30" s="27">
        <f>IFERROR(__xludf.DUMMYFUNCTION("IFERROR(
  LET(
    x, UPPER(SUBSTITUTE(TRIM(Data!C95),CHAR(160),"""")),
    base, VALUE(SUBSTITUTE(REGEXEXTRACT(x,""[0-9.,]+""),"","","""")),
    mult, IF(REGEXMATCH(x,""B""),1000000000, IF(REGEXMATCH(x,""M""),1000000, 1)),
    base * mult
  ),
  0
)"),1.15E10)</f>
        <v>11500000000</v>
      </c>
      <c r="E30" s="27">
        <f>IFERROR(__xludf.DUMMYFUNCTION("IFERROR(
  LET(
    x, UPPER(SUBSTITUTE(TRIM(Data!D95),CHAR(160),"""")),
    base, VALUE(SUBSTITUTE(REGEXEXTRACT(x,""[0-9.,]+""),"","","""")),
    mult, IF(REGEXMATCH(x,""B""),1000000000, IF(REGEXMATCH(x,""M""),1000000, 1)),
    base * mult
  ),
  0
)"),1.508E10)</f>
        <v>15080000000</v>
      </c>
      <c r="F30" s="27">
        <f>IFERROR(__xludf.DUMMYFUNCTION("IFERROR(
  LET(
    x, UPPER(SUBSTITUTE(TRIM(Data!E95),CHAR(160),"""")),
    base, VALUE(SUBSTITUTE(REGEXEXTRACT(x,""[0-9.,]+""),"","","""")),
    mult, IF(REGEXMATCH(x,""B""),1000000000, IF(REGEXMATCH(x,""M""),1000000, 1)),
    base * mult
  ),
  0
)"),1.89E10)</f>
        <v>18900000000</v>
      </c>
      <c r="G30" s="28">
        <f>IFERROR(__xludf.DUMMYFUNCTION("IFERROR(
  LET(
    x, UPPER(SUBSTITUTE(TRIM(Data!F95),CHAR(160),"""")),
    base, VALUE(SUBSTITUTE(REGEXEXTRACT(x,""[0-9.,]+""),"","","""")),
    mult, IF(REGEXMATCH(x,""B""),1000000000, IF(REGEXMATCH(x,""M""),1000000, 1)),
    base * mult
  ),
  0
)"),2.344E10)</f>
        <v>23440000000</v>
      </c>
      <c r="H30" s="27">
        <f t="shared" ref="H30:L30" si="16">AVERAGE(C30:G30)</f>
        <v>15522000000</v>
      </c>
      <c r="I30" s="27">
        <f t="shared" si="16"/>
        <v>16888400000</v>
      </c>
      <c r="J30" s="27">
        <f t="shared" si="16"/>
        <v>17966080000</v>
      </c>
      <c r="K30" s="27">
        <f t="shared" si="16"/>
        <v>18543296000</v>
      </c>
      <c r="L30" s="28">
        <f t="shared" si="16"/>
        <v>18471955200</v>
      </c>
    </row>
    <row r="31">
      <c r="B31" s="40" t="s">
        <v>55</v>
      </c>
      <c r="C31" s="52">
        <f>IFERROR(__xludf.DUMMYFUNCTION("IFERROR(
  LET(
    x, UPPER(SUBSTITUTE(TRIM(Data!B89),CHAR(160),"""")),
    base, VALUE(SUBSTITUTE(REGEXEXTRACT(x,""[0-9.,]+""),"","","""")),
    mult, IF(REGEXMATCH(x,""B""),1000000000, IF(REGEXMATCH(x,""M""),1000000, 1)),
    base * mult
  ),
  0
)"),3.118E10)</f>
        <v>31180000000</v>
      </c>
      <c r="D31" s="52">
        <f>IFERROR(__xludf.DUMMYFUNCTION("IFERROR(
  LET(
    x, UPPER(SUBSTITUTE(TRIM(Data!C89),CHAR(160),"""")),
    base, VALUE(SUBSTITUTE(REGEXEXTRACT(x,""[0-9.,]+""),"","","""")),
    mult, IF(REGEXMATCH(x,""B""),1000000000, IF(REGEXMATCH(x,""M""),1000000, 1)),
    base * mult
  ),
  0
)"),3.664E10)</f>
        <v>36640000000</v>
      </c>
      <c r="E31" s="52">
        <f>IFERROR(__xludf.DUMMYFUNCTION("IFERROR(
  LET(
    x, UPPER(SUBSTITUTE(TRIM(Data!D89),CHAR(160),"""")),
    base, VALUE(SUBSTITUTE(REGEXEXTRACT(x,""[0-9.,]+""),"","","""")),
    mult, IF(REGEXMATCH(x,""B""),1000000000, IF(REGEXMATCH(x,""M""),1000000, 1)),
    base * mult
  ),
  0
)"),4.512E10)</f>
        <v>45120000000</v>
      </c>
      <c r="F31" s="52">
        <f>IFERROR(__xludf.DUMMYFUNCTION("IFERROR(
  LET(
    x, UPPER(SUBSTITUTE(TRIM(Data!E89),CHAR(160),"""")),
    base, VALUE(SUBSTITUTE(REGEXEXTRACT(x,""[0-9.,]+""),"","","""")),
    mult, IF(REGEXMATCH(x,""B""),1000000000, IF(REGEXMATCH(x,""M""),1000000, 1)),
    base * mult
  ),
  0
)"),5.15E10)</f>
        <v>51500000000</v>
      </c>
      <c r="G31" s="53">
        <f>IFERROR(__xludf.DUMMYFUNCTION("IFERROR(
  LET(
    x, UPPER(SUBSTITUTE(TRIM(Data!F89),CHAR(160),"""")),
    base, VALUE(SUBSTITUTE(REGEXEXTRACT(x,""[0-9.,]+""),"","","""")),
    mult, IF(REGEXMATCH(x,""B""),1000000000, IF(REGEXMATCH(x,""M""),1000000, 1)),
    base * mult
  ),
  0
)"),5.619E10)</f>
        <v>56190000000</v>
      </c>
      <c r="H31" s="52">
        <f t="shared" ref="H31:L31" si="17">AVERAGE(C31:G31)</f>
        <v>44126000000</v>
      </c>
      <c r="I31" s="52">
        <f t="shared" si="17"/>
        <v>46715200000</v>
      </c>
      <c r="J31" s="52">
        <f t="shared" si="17"/>
        <v>48730240000</v>
      </c>
      <c r="K31" s="52">
        <f t="shared" si="17"/>
        <v>49452288000</v>
      </c>
      <c r="L31" s="53">
        <f t="shared" si="17"/>
        <v>49042745600</v>
      </c>
    </row>
    <row r="32" ht="3.75" customHeight="1">
      <c r="B32" s="21"/>
      <c r="C32" s="37"/>
      <c r="D32" s="37"/>
      <c r="E32" s="37"/>
      <c r="F32" s="37"/>
      <c r="G32" s="38"/>
      <c r="H32" s="37"/>
      <c r="I32" s="37"/>
      <c r="J32" s="37"/>
      <c r="K32" s="37"/>
      <c r="L32" s="38"/>
    </row>
    <row r="33">
      <c r="B33" s="21"/>
      <c r="C33" s="37"/>
      <c r="D33" s="37"/>
      <c r="E33" s="37"/>
      <c r="F33" s="37"/>
      <c r="G33" s="38"/>
      <c r="H33" s="37"/>
      <c r="I33" s="37"/>
      <c r="J33" s="37"/>
      <c r="K33" s="37"/>
      <c r="L33" s="38"/>
    </row>
    <row r="34">
      <c r="B34" s="24" t="s">
        <v>56</v>
      </c>
      <c r="C34" s="27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)"),1.72E9)</f>
        <v>1720000000</v>
      </c>
      <c r="D34" s="27">
        <f>IFERROR(__xludf.DUMMYFUNCTION("IFERROR(
  LET(
    x, UPPER(SUBSTITUTE(TRIM(Data!C99),CHAR(160),"""")),
    base, VALUE(SUBSTITUTE(REGEXEXTRACT(x,""[0-9.,]+""),"","","""")),
    mult, IF(REGEXMATCH(x,""B""),1000000000, IF(REGEXMATCH(x,""M""),1000000, 1)),
    base * mult
  ),
  )"),5.93E8)</f>
        <v>593000000</v>
      </c>
      <c r="E34" s="27">
        <f>IFERROR(__xludf.DUMMYFUNCTION("IFERROR(
  LET(
    x, UPPER(SUBSTITUTE(TRIM(Data!D99),CHAR(160),"""")),
    base, VALUE(SUBSTITUTE(REGEXEXTRACT(x,""[0-9.,]+""),"","","""")),
    mult, IF(REGEXMATCH(x,""B""),1000000000, IF(REGEXMATCH(x,""M""),1000000, 1)),
    base * mult
  ),
  )"),6.15E8)</f>
        <v>615000000</v>
      </c>
      <c r="F34" s="27">
        <f>IFERROR(__xludf.DUMMYFUNCTION("IFERROR(
  LET(
    x, UPPER(SUBSTITUTE(TRIM(Data!E99),CHAR(160),"""")),
    base, VALUE(SUBSTITUTE(REGEXEXTRACT(x,""[0-9.,]+""),"","","""")),
    mult, IF(REGEXMATCH(x,""B""),1000000000, IF(REGEXMATCH(x,""M""),1000000, 1)),
    base * mult
  ),
  )"),1.47E9)</f>
        <v>1470000000</v>
      </c>
      <c r="G34" s="28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0
)"),1.72E9)</f>
        <v>1720000000</v>
      </c>
      <c r="H34" s="27">
        <f t="shared" ref="H34:L34" si="18">FORECAST(H3,$C$34:G34,$C$3:G3)</f>
        <v>1486700000</v>
      </c>
      <c r="I34" s="27">
        <f t="shared" si="18"/>
        <v>1574400000</v>
      </c>
      <c r="J34" s="27">
        <f t="shared" si="18"/>
        <v>1662100000</v>
      </c>
      <c r="K34" s="27">
        <f t="shared" si="18"/>
        <v>1749800000</v>
      </c>
      <c r="L34" s="28">
        <f t="shared" si="18"/>
        <v>1837500000</v>
      </c>
    </row>
    <row r="35">
      <c r="B35" s="24" t="s">
        <v>57</v>
      </c>
      <c r="C35" s="78">
        <f>IFERROR(__xludf.DUMMYFUNCTION("IFERROR(
  LET(
    x, UPPER(SUBSTITUTE(TRIM(Data!B102),CHAR(160),"""")),
    base, VALUE(SUBSTITUTE(REGEXEXTRACT(x,""[0-9.,]+""),"","","""")),
    mult, IF(REGEXMATCH(x,""B""),1000000000, IF(REGEXMATCH(x,""M""),1000000, 1)),
    base * mult
  ),
  0
)"),1.62E9)</f>
        <v>1620000000</v>
      </c>
      <c r="D35" s="78">
        <f>IFERROR(__xludf.DUMMYFUNCTION("IFERROR(
  LET(
    x, UPPER(SUBSTITUTE(TRIM(Data!C102),CHAR(160),"""")),
    base, VALUE(SUBSTITUTE(REGEXEXTRACT(x,""[0-9.,]+""),"","","""")),
    mult, IF(REGEXMATCH(x,""B""),1000000000, IF(REGEXMATCH(x,""M""),1000000, 1)),
    base * mult
  ),
  0
)"),3.54E9)</f>
        <v>3540000000</v>
      </c>
      <c r="E35" s="78">
        <f>IFERROR(__xludf.DUMMYFUNCTION("IFERROR(
  LET(
    x, UPPER(SUBSTITUTE(TRIM(Data!D102),CHAR(160),"""")),
    base, VALUE(SUBSTITUTE(REGEXEXTRACT(x,""[0-9.,]+""),"","","""")),
    mult, IF(REGEXMATCH(x,""B""),1000000000, IF(REGEXMATCH(x,""M""),1000000, 1)),
    base * mult
  ),
  0
)"),4.0199999999999995E9)</f>
        <v>4020000000</v>
      </c>
      <c r="F35" s="78">
        <f>IFERROR(__xludf.DUMMYFUNCTION("IFERROR(
  LET(
    x, UPPER(SUBSTITUTE(TRIM(Data!E102),CHAR(160),"""")),
    base, VALUE(SUBSTITUTE(REGEXEXTRACT(x,""[0-9.,]+""),"","","""")),
    mult, IF(REGEXMATCH(x,""B""),1000000000, IF(REGEXMATCH(x,""M""),1000000, 1)),
    base * mult
  ),
  0
)"),3.56E9)</f>
        <v>3560000000</v>
      </c>
      <c r="G35" s="79">
        <f>IFERROR(__xludf.DUMMYFUNCTION("IFERROR(
  LET(
    x, UPPER(SUBSTITUTE(TRIM(Data!F102),CHAR(160),"""")),
    base, VALUE(SUBSTITUTE(REGEXEXTRACT(x,""[0-9.,]+""),"","","""")),
    mult, IF(REGEXMATCH(x,""B""),1000000000, IF(REGEXMATCH(x,""M""),1000000, 1)),
    base * mult
  ),
  0
)"),2.56E9)</f>
        <v>2560000000</v>
      </c>
      <c r="H35" s="27">
        <f t="shared" ref="H35:L35" si="19">FORECAST(H3,$C$35:G35,$C$3:G3)</f>
        <v>3630000000</v>
      </c>
      <c r="I35" s="27">
        <f t="shared" si="19"/>
        <v>3820000000</v>
      </c>
      <c r="J35" s="27">
        <f t="shared" si="19"/>
        <v>4010000000</v>
      </c>
      <c r="K35" s="27">
        <f t="shared" si="19"/>
        <v>4200000000</v>
      </c>
      <c r="L35" s="28">
        <f t="shared" si="19"/>
        <v>4390000000</v>
      </c>
    </row>
    <row r="36">
      <c r="B36" s="40" t="s">
        <v>58</v>
      </c>
      <c r="C36" s="52">
        <f>IFERROR(__xludf.DUMMYFUNCTION("regexreplace(Data!B103,""B"","""")*1000000000"),6.213E10)</f>
        <v>62130000000</v>
      </c>
      <c r="D36" s="52">
        <f>IFERROR(__xludf.DUMMYFUNCTION("regexreplace(Data!C103,""B"","""")*1000000000"),8.234E10)</f>
        <v>82340000000</v>
      </c>
      <c r="E36" s="52">
        <f>IFERROR(__xludf.DUMMYFUNCTION("regexreplace(Data!D103,""B"","""")*1000000000"),1.0662E11)</f>
        <v>106620000000</v>
      </c>
      <c r="F36" s="52">
        <f>IFERROR(__xludf.DUMMYFUNCTION("regexreplace(Data!E103,""B"","""")*1000000000"),1.2207E11)</f>
        <v>122070000000</v>
      </c>
      <c r="G36" s="52">
        <f>IFERROR(__xludf.DUMMYFUNCTION("regexreplace(Data!F103,""B"","""")*1000000000"),1.3781E11)</f>
        <v>137810000000</v>
      </c>
      <c r="H36" s="77">
        <f t="shared" ref="H36:L36" si="20">G36*(1+H37)</f>
        <v>168180476065</v>
      </c>
      <c r="I36" s="52">
        <f t="shared" si="20"/>
        <v>205243977429</v>
      </c>
      <c r="J36" s="52">
        <f t="shared" si="20"/>
        <v>250475508553</v>
      </c>
      <c r="K36" s="52">
        <f t="shared" si="20"/>
        <v>305675134396</v>
      </c>
      <c r="L36" s="53">
        <f t="shared" si="20"/>
        <v>373039617038</v>
      </c>
    </row>
    <row r="37">
      <c r="A37" s="36"/>
      <c r="B37" s="30" t="s">
        <v>59</v>
      </c>
      <c r="C37" s="81" t="s">
        <v>19</v>
      </c>
      <c r="D37" s="32">
        <f>Data!C104</f>
        <v>0.3252</v>
      </c>
      <c r="E37" s="32">
        <f>Data!D104</f>
        <v>0.2949</v>
      </c>
      <c r="F37" s="32">
        <f>Data!E104</f>
        <v>0.1449</v>
      </c>
      <c r="G37" s="33">
        <f>Data!F104</f>
        <v>0.1289</v>
      </c>
      <c r="H37" s="32">
        <f>(G36/C36)^(1/4)-1</f>
        <v>0.2203793343</v>
      </c>
      <c r="I37" s="32">
        <f t="shared" ref="I37:L37" si="21">H37</f>
        <v>0.2203793343</v>
      </c>
      <c r="J37" s="32">
        <f t="shared" si="21"/>
        <v>0.2203793343</v>
      </c>
      <c r="K37" s="32">
        <f t="shared" si="21"/>
        <v>0.2203793343</v>
      </c>
      <c r="L37" s="33">
        <f t="shared" si="21"/>
        <v>0.2203793343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3.75" customHeight="1">
      <c r="B38" s="82"/>
      <c r="C38" s="83"/>
      <c r="D38" s="37"/>
      <c r="E38" s="37"/>
      <c r="F38" s="37"/>
      <c r="G38" s="38"/>
      <c r="H38" s="37"/>
      <c r="I38" s="37"/>
      <c r="J38" s="37"/>
      <c r="K38" s="37"/>
      <c r="L38" s="38"/>
    </row>
    <row r="39">
      <c r="B39" s="82"/>
      <c r="C39" s="84"/>
      <c r="D39" s="27"/>
      <c r="E39" s="27"/>
      <c r="F39" s="27"/>
      <c r="G39" s="28"/>
      <c r="H39" s="37"/>
      <c r="I39" s="37"/>
      <c r="J39" s="37"/>
      <c r="K39" s="37"/>
      <c r="L39" s="38"/>
    </row>
    <row r="40">
      <c r="B40" s="85" t="s">
        <v>60</v>
      </c>
      <c r="C40" s="84">
        <f>IFERROR(__xludf.DUMMYFUNCTION("IFERROR(
  LET(
    x, UPPER(SUBSTITUTE(TRIM(Data!B334),CHAR(160),"""")),
    base, VALUE(SUBSTITUTE(REGEXEXTRACT(x,""[0-9.,]+""),"","","""")),
    mult, IF(REGEXMATCH(x,""B""),1000000000, IF(REGEXMATCH(x,""M""),1000000, 1)),
    base * mult
  ),
  0
)"),3.68E8)</f>
        <v>368000000</v>
      </c>
      <c r="D40" s="27">
        <f>IFERROR(__xludf.DUMMYFUNCTION("IFERROR(
  LET(
    x, UPPER(SUBSTITUTE(TRIM(Data!C334),CHAR(160),"""")),
    base, VALUE(SUBSTITUTE(REGEXEXTRACT(x,""[0-9.,]+""),"","","""")),
    mult, IF(REGEXMATCH(x,""B""),1000000000, IF(REGEXMATCH(x,""M""),1000000, 1)),
    base * mult
  ),
  0
)"),4.85E8)</f>
        <v>485000000</v>
      </c>
      <c r="E40" s="27">
        <f>IFERROR(__xludf.DUMMYFUNCTION("IFERROR(
  LET(
    x, UPPER(SUBSTITUTE(TRIM(Data!D334),CHAR(160),"""")),
    base, VALUE(SUBSTITUTE(REGEXEXTRACT(x,""[0-9.,]+""),"","","""")),
    mult, IF(REGEXMATCH(x,""B""),1000000000, IF(REGEXMATCH(x,""M""),1000000, 1)),
    base * mult
  ),
  0
)"),6.72E8)</f>
        <v>672000000</v>
      </c>
      <c r="F40" s="27">
        <f>IFERROR(__xludf.DUMMYFUNCTION("IFERROR(
  LET(
    x, UPPER(SUBSTITUTE(TRIM(Data!E334),CHAR(160),"""")),
    base, VALUE(SUBSTITUTE(REGEXEXTRACT(x,""[0-9.,]+""),"","","""")),
    mult, IF(REGEXMATCH(x,""B""),1000000000, IF(REGEXMATCH(x,""M""),1000000, 1)),
    base * mult
  ),
  0
)"),8.07E8)</f>
        <v>807000000</v>
      </c>
      <c r="G40" s="28">
        <f>IFERROR(__xludf.DUMMYFUNCTION("IFERROR(
  LET(
    x, UPPER(SUBSTITUTE(TRIM(Data!F334),CHAR(160),"""")),
    base, VALUE(SUBSTITUTE(REGEXEXTRACT(x,""[0-9.,]+""),"","","""")),
    mult, IF(REGEXMATCH(x,""B""),1000000000, IF(REGEXMATCH(x,""M""),1000000, 1)),
    base * mult
  ),
  0
)"),9.54E8)</f>
        <v>954000000</v>
      </c>
      <c r="H40" s="27">
        <f t="shared" ref="H40:L40" si="22">FORECAST(H3,$C$40:G40,$C$3:G3)</f>
        <v>1105400000</v>
      </c>
      <c r="I40" s="27">
        <f t="shared" si="22"/>
        <v>1254800000</v>
      </c>
      <c r="J40" s="27">
        <f t="shared" si="22"/>
        <v>1404200000</v>
      </c>
      <c r="K40" s="27">
        <f t="shared" si="22"/>
        <v>1553600000</v>
      </c>
      <c r="L40" s="28">
        <f t="shared" si="22"/>
        <v>1703000000</v>
      </c>
    </row>
    <row r="41">
      <c r="B41" s="85" t="s">
        <v>61</v>
      </c>
      <c r="C41" s="86">
        <f>IFERROR(__xludf.DUMMYFUNCTION("IFERROR(
  LET(
    x, UPPER(SUBSTITUTE(TRIM(Data!B335),CHAR(160),"""")),
    base, VALUE(SUBSTITUTE(REGEXEXTRACT(x,""[0-9.,]+""),"","","""")),
    mult, IF(REGEXMATCH(x,""B""),1000000000, IF(REGEXMATCH(x,""M""),1000000, 1)),
    base * mult
  ),
  0
)"),1.59E9)</f>
        <v>1590000000</v>
      </c>
      <c r="D41" s="27">
        <f>IFERROR(__xludf.DUMMYFUNCTION("IFERROR(
  LET(
    x, UPPER(SUBSTITUTE(TRIM(Data!C335),CHAR(160),"""")),
    base, VALUE(SUBSTITUTE(REGEXEXTRACT(x,""[0-9.,]+""),"","","""")),
    mult, IF(REGEXMATCH(x,""B""),1000000000, IF(REGEXMATCH(x,""M""),1000000, 1)),
    base * mult
  ),
  0
)"),1.5E9)</f>
        <v>1500000000</v>
      </c>
      <c r="E41" s="27">
        <f>IFERROR(__xludf.DUMMYFUNCTION("IFERROR(
  LET(
    x, UPPER(SUBSTITUTE(TRIM(Data!D335),CHAR(160),"""")),
    base, VALUE(SUBSTITUTE(REGEXEXTRACT(x,""[0-9.,]+""),"","","""")),
    mult, IF(REGEXMATCH(x,""B""),1000000000, IF(REGEXMATCH(x,""M""),1000000, 1)),
    base * mult
  ),
  0
)"),2.37E9)</f>
        <v>2370000000</v>
      </c>
      <c r="F41" s="27">
        <f>IFERROR(__xludf.DUMMYFUNCTION("IFERROR(
  LET(
    x, UPPER(SUBSTITUTE(TRIM(Data!E335),CHAR(160),"""")),
    base, VALUE(SUBSTITUTE(REGEXEXTRACT(x,""[0-9.,]+""),"","","""")),
    mult, IF(REGEXMATCH(x,""B""),1000000000, IF(REGEXMATCH(x,""M""),1000000, 1)),
    base * mult
  ),
  0
)"),2.46E9)</f>
        <v>2460000000</v>
      </c>
      <c r="G41" s="28">
        <f>IFERROR(__xludf.DUMMYFUNCTION("IFERROR(
  LET(
    x, UPPER(SUBSTITUTE(TRIM(Data!F335),CHAR(160),"""")),
    base, VALUE(SUBSTITUTE(REGEXEXTRACT(x,""[0-9.,]+""),"","","""")),
    mult, IF(REGEXMATCH(x,""B""),1000000000, IF(REGEXMATCH(x,""M""),1000000, 1)),
    base * mult
  ),
  0
)"),1.64E9)</f>
        <v>1640000000</v>
      </c>
      <c r="H41" s="27">
        <f t="shared" ref="H41:L41" si="23">AVERAGE(C41:G41)</f>
        <v>1912000000</v>
      </c>
      <c r="I41" s="27">
        <f t="shared" si="23"/>
        <v>1976400000</v>
      </c>
      <c r="J41" s="27">
        <f t="shared" si="23"/>
        <v>2071680000</v>
      </c>
      <c r="K41" s="27">
        <f t="shared" si="23"/>
        <v>2012016000</v>
      </c>
      <c r="L41" s="28">
        <f t="shared" si="23"/>
        <v>1922419200</v>
      </c>
    </row>
    <row r="42">
      <c r="B42" s="87" t="s">
        <v>62</v>
      </c>
      <c r="C42" s="88">
        <f>IFERROR(__xludf.DUMMYFUNCTION("IFERROR(
  LET(
    x, UPPER(SUBSTITUTE(TRIM(Data!B333),CHAR(160),"""")),
    base, VALUE(SUBSTITUTE(REGEXEXTRACT(x,""[0-9.,]+""),"","","""")),
    mult, IF(REGEXMATCH(x,""B""),1000000000, IF(REGEXMATCH(x,""M""),1000000, 1)),
    base * mult
  ),
  0
)"),1.96E9)</f>
        <v>1960000000</v>
      </c>
      <c r="D42" s="89">
        <f>IFERROR(__xludf.DUMMYFUNCTION("IFERROR(
  LET(
    x, UPPER(SUBSTITUTE(TRIM(Data!C333),CHAR(160),"""")),
    base, VALUE(SUBSTITUTE(REGEXEXTRACT(x,""[0-9.,]+""),"","","""")),
    mult, IF(REGEXMATCH(x,""B""),1000000000, IF(REGEXMATCH(x,""M""),1000000, 1)),
    base * mult
  ),
  0
)"),1.99E9)</f>
        <v>1990000000</v>
      </c>
      <c r="E42" s="89">
        <f>IFERROR(__xludf.DUMMYFUNCTION("IFERROR(
  LET(
    x, UPPER(SUBSTITUTE(TRIM(Data!D333),CHAR(160),"""")),
    base, VALUE(SUBSTITUTE(REGEXEXTRACT(x,""[0-9.,]+""),"","","""")),
    mult, IF(REGEXMATCH(x,""B""),1000000000, IF(REGEXMATCH(x,""M""),1000000, 1)),
    base * mult
  ),
  0
)"),3.05E9)</f>
        <v>3050000000</v>
      </c>
      <c r="F42" s="89">
        <f>IFERROR(__xludf.DUMMYFUNCTION("IFERROR(
  LET(
    x, UPPER(SUBSTITUTE(TRIM(Data!E333),CHAR(160),"""")),
    base, VALUE(SUBSTITUTE(REGEXEXTRACT(x,""[0-9.,]+""),"","","""")),
    mult, IF(REGEXMATCH(x,""B""),1000000000, IF(REGEXMATCH(x,""M""),1000000, 1)),
    base * mult
  ),
  0
)"),3.26E9)</f>
        <v>3260000000</v>
      </c>
      <c r="G42" s="90">
        <f>IFERROR(__xludf.DUMMYFUNCTION("IFERROR(
  LET(
    x, UPPER(SUBSTITUTE(TRIM(Data!F333),CHAR(160),"""")),
    base, VALUE(SUBSTITUTE(REGEXEXTRACT(x,""[0-9.,]+""),"","","""")),
    mult, IF(REGEXMATCH(x,""B""),1000000000, IF(REGEXMATCH(x,""M""),1000000, 1)),
    base * mult
  ),
  0
)"),2.59E9)</f>
        <v>2590000000</v>
      </c>
      <c r="H42" s="89">
        <f t="shared" ref="H42:L42" si="24">FORECAST(H3,$C$42:G42,$C$3:G3)</f>
        <v>3329000000</v>
      </c>
      <c r="I42" s="89">
        <f t="shared" si="24"/>
        <v>3582000000</v>
      </c>
      <c r="J42" s="89">
        <f t="shared" si="24"/>
        <v>3835000000</v>
      </c>
      <c r="K42" s="89">
        <f t="shared" si="24"/>
        <v>4088000000</v>
      </c>
      <c r="L42" s="90">
        <f t="shared" si="24"/>
        <v>4341000000</v>
      </c>
    </row>
  </sheetData>
  <mergeCells count="3">
    <mergeCell ref="B2:B3"/>
    <mergeCell ref="C2:G2"/>
    <mergeCell ref="H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12" width="25.13"/>
  </cols>
  <sheetData>
    <row r="2">
      <c r="B2" s="12" t="s">
        <v>37</v>
      </c>
      <c r="C2" s="13" t="s">
        <v>11</v>
      </c>
      <c r="D2" s="14"/>
      <c r="E2" s="14"/>
      <c r="F2" s="14"/>
      <c r="G2" s="15"/>
      <c r="H2" s="13" t="s">
        <v>12</v>
      </c>
      <c r="I2" s="14"/>
      <c r="J2" s="14"/>
      <c r="K2" s="14"/>
      <c r="L2" s="15"/>
    </row>
    <row r="3">
      <c r="B3" s="17"/>
      <c r="C3" s="18">
        <v>2020.0</v>
      </c>
      <c r="D3" s="18">
        <v>2021.0</v>
      </c>
      <c r="E3" s="18">
        <v>2022.0</v>
      </c>
      <c r="F3" s="18">
        <v>2023.0</v>
      </c>
      <c r="G3" s="20">
        <v>2024.0</v>
      </c>
      <c r="H3" s="18">
        <v>2025.0</v>
      </c>
      <c r="I3" s="18">
        <v>2026.0</v>
      </c>
      <c r="J3" s="18">
        <v>2027.0</v>
      </c>
      <c r="K3" s="18">
        <v>2028.0</v>
      </c>
      <c r="L3" s="20">
        <v>2029.0</v>
      </c>
    </row>
    <row r="4" ht="3.75" customHeight="1">
      <c r="B4" s="21"/>
      <c r="G4" s="22"/>
      <c r="L4" s="22"/>
    </row>
    <row r="5">
      <c r="B5" s="21"/>
      <c r="G5" s="22"/>
      <c r="L5" s="22"/>
    </row>
    <row r="6">
      <c r="B6" s="40" t="s">
        <v>63</v>
      </c>
      <c r="C6" s="91">
        <f>IFERROR(__xludf.DUMMYFUNCTION("IFERROR(
  LET(
    x, UPPER(SUBSTITUTE(TRIM(Data!B112),CHAR(160),"""")),
    base, VALUE(SUBSTITUTE(REGEXEXTRACT(x,""[0-9.,]+""),"","","""")),
    mult, IF(REGEXMATCH(x,""B""),1000000000, IF(REGEXMATCH(x,""M""),1000000, 1)),
    base * mult
  ),
  0
)
"),5.64E9)</f>
        <v>5640000000</v>
      </c>
      <c r="D6" s="91">
        <f>IFERROR(__xludf.DUMMYFUNCTION("IFERROR(
  LET(
    x, UPPER(SUBSTITUTE(TRIM(Data!C112),CHAR(160),"""")),
    base, VALUE(SUBSTITUTE(REGEXEXTRACT(x,""[0-9.,]+""),"","","""")),
    mult, IF(REGEXMATCH(x,""B""),1000000000, IF(REGEXMATCH(x,""M""),1000000, 1)),
    base * mult
  ),
)"),1.259E10)</f>
        <v>12590000000</v>
      </c>
      <c r="E6" s="91">
        <f>IFERROR(__xludf.DUMMYFUNCTION("IFERROR(
  LET(
    x, UPPER(SUBSTITUTE(TRIM(Data!D112),CHAR(160),"""")),
    base, VALUE(SUBSTITUTE(REGEXEXTRACT(x,""[0-9.,]+""),"","","""")),
    mult, IF(REGEXMATCH(x,""B""),1000000000, IF(REGEXMATCH(x,""M""),1000000, 1)),
    base * mult
  ),
)"),1.497E10)</f>
        <v>14970000000</v>
      </c>
      <c r="F6" s="91">
        <f>IFERROR(__xludf.DUMMYFUNCTION("IFERROR(
  LET(
    x, UPPER(SUBSTITUTE(TRIM(Data!E112),CHAR(160),"""")),
    base, VALUE(SUBSTITUTE(REGEXEXTRACT(x,""[0-9.,]+""),"","","""")),
    mult, IF(REGEXMATCH(x,""B""),1000000000, IF(REGEXMATCH(x,""M""),1000000, 1)),
    base * mult
  ),
)"),7.15E9)</f>
        <v>7150000000</v>
      </c>
      <c r="G6" s="92">
        <f>IFERROR(__xludf.DUMMYFUNCTION("IFERROR(
  LET(
    x, UPPER(SUBSTITUTE(TRIM(Data!F112),CHAR(160),"""")),
    base, VALUE(SUBSTITUTE(REGEXEXTRACT(x,""[0-9.,]+""),"","","""")),
    mult, IF(REGEXMATCH(x,""B""),1000000000, IF(REGEXMATCH(x,""M""),1000000, 1)),
    base * mult
  ),
)"),3.86E9)</f>
        <v>3860000000</v>
      </c>
      <c r="H6" s="91">
        <f t="shared" ref="H6:L6" si="1">FORECAST(H3,$C$6:G6,$C$3:G3)</f>
        <v>6142000000</v>
      </c>
      <c r="I6" s="91">
        <f t="shared" si="1"/>
        <v>5242000000</v>
      </c>
      <c r="J6" s="91">
        <f t="shared" si="1"/>
        <v>4342000000</v>
      </c>
      <c r="K6" s="91">
        <f t="shared" si="1"/>
        <v>3442000000</v>
      </c>
      <c r="L6" s="92">
        <f t="shared" si="1"/>
        <v>2542000000</v>
      </c>
    </row>
    <row r="7">
      <c r="B7" s="24" t="s">
        <v>34</v>
      </c>
      <c r="C7" s="75" t="str">
        <f>Data!B113</f>
        <v>-</v>
      </c>
      <c r="D7" s="74">
        <f>Data!C113</f>
        <v>1.2302</v>
      </c>
      <c r="E7" s="74">
        <f>Data!D113</f>
        <v>0.1896</v>
      </c>
      <c r="F7" s="74">
        <f>Data!E113</f>
        <v>-0.5223</v>
      </c>
      <c r="G7" s="93">
        <f>Data!F113</f>
        <v>-0.4611</v>
      </c>
      <c r="H7" s="74">
        <f t="shared" ref="H7:L7" si="2">H6/G6-1</f>
        <v>0.5911917098</v>
      </c>
      <c r="I7" s="74">
        <f t="shared" si="2"/>
        <v>-0.1465320742</v>
      </c>
      <c r="J7" s="74">
        <f t="shared" si="2"/>
        <v>-0.1716901946</v>
      </c>
      <c r="K7" s="74">
        <f t="shared" si="2"/>
        <v>-0.2072777522</v>
      </c>
      <c r="L7" s="93">
        <f t="shared" si="2"/>
        <v>-0.2614758861</v>
      </c>
    </row>
    <row r="8" ht="3.75" customHeight="1">
      <c r="B8" s="21"/>
      <c r="G8" s="22"/>
      <c r="L8" s="22"/>
    </row>
    <row r="9">
      <c r="B9" s="21"/>
      <c r="G9" s="22"/>
      <c r="L9" s="22"/>
    </row>
    <row r="10">
      <c r="B10" s="40" t="s">
        <v>64</v>
      </c>
      <c r="C10" s="91">
        <f>IFERROR(__xludf.DUMMYFUNCTION("IFERROR(
  LET(
    x, UPPER(SUBSTITUTE(TRIM(Data!B114),CHAR(160),"""")),
    base, VALUE(SUBSTITUTE(REGEXEXTRACT(x,""[0-9.,]+""),"","","""")),
    mult, IF(REGEXMATCH(x,""B""),1000000000, IF(REGEXMATCH(x,""M""),1000000, 1)),
    base * mult
  ),
  0
)
"),2.91E9)</f>
        <v>2910000000</v>
      </c>
      <c r="D10" s="91">
        <f>IFERROR(__xludf.DUMMYFUNCTION("IFERROR(
  LET(
    x, UPPER(SUBSTITUTE(TRIM(Data!C114),CHAR(160),"""")),
    base, VALUE(SUBSTITUTE(REGEXEXTRACT(x,""[0-9.,]+""),"","","""")),
    mult, IF(REGEXMATCH(x,""B""),1000000000, IF(REGEXMATCH(x,""M""),1000000, 1)),
    base * mult
  ),
  0
)
"),3.75E9)</f>
        <v>3750000000</v>
      </c>
      <c r="E10" s="91">
        <f>IFERROR(__xludf.DUMMYFUNCTION("IFERROR(
  LET(
    x, UPPER(SUBSTITUTE(TRIM(Data!D114),CHAR(160),"""")),
    base, VALUE(SUBSTITUTE(REGEXEXTRACT(x,""[0-9.,]+""),"","","""")),
    mult, IF(REGEXMATCH(x,""B""),1000000000, IF(REGEXMATCH(x,""M""),1000000, 1)),
    base * mult
  ),
  0
)
"),4.67E9)</f>
        <v>4670000000</v>
      </c>
      <c r="F10" s="91">
        <f>IFERROR(__xludf.DUMMYFUNCTION("IFERROR(
  LET(
    x, UPPER(SUBSTITUTE(TRIM(Data!E114),CHAR(160),"""")),
    base, VALUE(SUBSTITUTE(REGEXEXTRACT(x,""[0-9.,]+""),"","","""")),
    mult, IF(REGEXMATCH(x,""B""),1000000000, IF(REGEXMATCH(x,""M""),1000000, 1)),
    base * mult
  ),
  0
)
"),5.37E9)</f>
        <v>5370000000</v>
      </c>
      <c r="G10" s="92">
        <f>IFERROR(__xludf.DUMMYFUNCTION("IFERROR(
  LET(
    x, UPPER(SUBSTITUTE(TRIM(Data!F114),CHAR(160),"""")),
    base, VALUE(SUBSTITUTE(REGEXEXTRACT(x,""[0-9.,]+""),"","","""")),
    mult, IF(REGEXMATCH(x,""B""),1000000000, IF(REGEXMATCH(x,""M""),1000000, 1)),
    base * mult
  ),
  0
)
"),6.15E9)</f>
        <v>6150000000</v>
      </c>
      <c r="H10" s="91">
        <f t="shared" ref="H10:L10" si="3">FORECAST(H3,$C$10:G10,$C$3:G3)</f>
        <v>7000000000</v>
      </c>
      <c r="I10" s="91">
        <f t="shared" si="3"/>
        <v>7810000000</v>
      </c>
      <c r="J10" s="91">
        <f t="shared" si="3"/>
        <v>8620000000</v>
      </c>
      <c r="K10" s="91">
        <f t="shared" si="3"/>
        <v>9430000000</v>
      </c>
      <c r="L10" s="92">
        <f t="shared" si="3"/>
        <v>10240000000</v>
      </c>
    </row>
    <row r="11" ht="3.75" customHeight="1">
      <c r="B11" s="21"/>
      <c r="G11" s="22"/>
      <c r="L11" s="22"/>
    </row>
    <row r="12">
      <c r="B12" s="21"/>
      <c r="G12" s="22"/>
      <c r="L12" s="22"/>
    </row>
    <row r="13">
      <c r="B13" s="40" t="s">
        <v>65</v>
      </c>
      <c r="C13" s="94">
        <f>IFERROR(__xludf.DUMMYFUNCTION("IFERROR(
  LET(
    x, UPPER(SUBSTITUTE(TRIM(Data!B127),CHAR(160),"""")),
    base, VALUE(SUBSTITUTE(REGEXEXTRACT(x,""[0-9.,]+""),"","","""")),
    mult, IF(REGEXMATCH(x,""B""),1000000000, IF(REGEXMATCH(x,""M""),1000000, 1)),
    base * mult
  ),
  0
)
"),1.15E10)</f>
        <v>11500000000</v>
      </c>
      <c r="D13" s="91">
        <f>IFERROR(__xludf.DUMMYFUNCTION("IFERROR(
  LET(
    x, UPPER(SUBSTITUTE(TRIM(Data!C127),CHAR(160),"""")),
    base, VALUE(SUBSTITUTE(REGEXEXTRACT(x,""[0-9.,]+""),"","","""")),
    mult, IF(REGEXMATCH(x,""B""),1000000000, IF(REGEXMATCH(x,""M""),1000000, 1)),
    base * mult
  ),
  0
)
"),1.472E10)</f>
        <v>14720000000</v>
      </c>
      <c r="E13" s="91">
        <f>IFERROR(__xludf.DUMMYFUNCTION("IFERROR(
  LET(
    x, UPPER(SUBSTITUTE(TRIM(Data!D127),CHAR(160),"""")),
    base, VALUE(SUBSTITUTE(REGEXEXTRACT(x,""[0-9.,]+""),"","","""")),
    mult, IF(REGEXMATCH(x,""B""),1000000000, IF(REGEXMATCH(x,""M""),1000000, 1)),
    base * mult
  ),
  0
)
"),1.326E10)</f>
        <v>13260000000</v>
      </c>
      <c r="F13" s="91">
        <f>IFERROR(__xludf.DUMMYFUNCTION("IFERROR(
  LET(
    x, UPPER(SUBSTITUTE(TRIM(Data!E127),CHAR(160),"""")),
    base, VALUE(SUBSTITUTE(REGEXEXTRACT(x,""[0-9.,]+""),"","","""")),
    mult, IF(REGEXMATCH(x,""B""),1000000000, IF(REGEXMATCH(x,""M""),1000000, 1)),
    base * mult
  ),
  0
)
"),1.492E10)</f>
        <v>14920000000</v>
      </c>
      <c r="G13" s="92">
        <f>IFERROR(__xludf.DUMMYFUNCTION("IFERROR(
  LET(
    x, UPPER(SUBSTITUTE(TRIM(Data!F127),CHAR(160),"""")),
    base, VALUE(SUBSTITUTE(REGEXEXTRACT(x,""[0-9.,]+""),"","","""")),
    mult, IF(REGEXMATCH(x,""B""),1000000000, IF(REGEXMATCH(x,""M""),1000000, 1)),
    base * mult
  ),
  0
)
"),1.475E10)</f>
        <v>14750000000</v>
      </c>
      <c r="H13" s="91">
        <f t="shared" ref="H13:L13" si="4">FORECAST(H3,$C$13:G13,$C$3:G3)</f>
        <v>15840000000</v>
      </c>
      <c r="I13" s="91">
        <f t="shared" si="4"/>
        <v>16510000000</v>
      </c>
      <c r="J13" s="91">
        <f t="shared" si="4"/>
        <v>17180000000</v>
      </c>
      <c r="K13" s="91">
        <f t="shared" si="4"/>
        <v>17850000000</v>
      </c>
      <c r="L13" s="92">
        <f t="shared" si="4"/>
        <v>18520000000</v>
      </c>
    </row>
    <row r="14">
      <c r="B14" s="24" t="s">
        <v>66</v>
      </c>
      <c r="C14" s="75" t="str">
        <f>Data!B128</f>
        <v>-</v>
      </c>
      <c r="D14" s="74">
        <f>Data!C128</f>
        <v>0.2807</v>
      </c>
      <c r="E14" s="74">
        <f>Data!D128</f>
        <v>-0.0997</v>
      </c>
      <c r="F14" s="74">
        <f>Data!E128</f>
        <v>0.1258</v>
      </c>
      <c r="G14" s="93">
        <f>Data!F128</f>
        <v>-0.0118</v>
      </c>
      <c r="H14" s="74">
        <f t="shared" ref="H14:L14" si="5">H13/G13-1</f>
        <v>0.07389830508</v>
      </c>
      <c r="I14" s="74">
        <f t="shared" si="5"/>
        <v>0.0422979798</v>
      </c>
      <c r="J14" s="74">
        <f t="shared" si="5"/>
        <v>0.04058146578</v>
      </c>
      <c r="K14" s="74">
        <f t="shared" si="5"/>
        <v>0.03899883586</v>
      </c>
      <c r="L14" s="93">
        <f t="shared" si="5"/>
        <v>0.03753501401</v>
      </c>
    </row>
    <row r="15" ht="3.75" customHeight="1">
      <c r="B15" s="21"/>
      <c r="G15" s="22"/>
      <c r="L15" s="22"/>
    </row>
    <row r="16">
      <c r="B16" s="21"/>
      <c r="G16" s="22"/>
      <c r="L16" s="22"/>
    </row>
    <row r="17">
      <c r="B17" s="24" t="s">
        <v>67</v>
      </c>
      <c r="C17" s="95">
        <f>IFERROR(__xludf.DUMMYFUNCTION("IFERROR(
  LET(
    x, UPPER(SUBSTITUTE(TRIM(Data!B153),CHAR(160),"""")),
    base, VALUE(SUBSTITUTE(REGEXEXTRACT(x,""[0-9.,]+""),"","","""")),
    mult, IF(REGEXMATCH(x,""B""),1000000000, IF(REGEXMATCH(x,""M""),1000000, 1)),
    base * mult
  ),
  0
)
"),1.76E9)</f>
        <v>1760000000</v>
      </c>
      <c r="D17" s="95">
        <f>IFERROR(__xludf.DUMMYFUNCTION("IFERROR(
  LET(
    x, UPPER(SUBSTITUTE(TRIM(Data!C153),CHAR(160),"""")),
    base, VALUE(SUBSTITUTE(REGEXEXTRACT(x,""[0-9.,]+""),"","","""")),
    mult, IF(REGEXMATCH(x,""B""),1000000000, IF(REGEXMATCH(x,""M""),1000000, 1)),
    base * mult
  ),
  0
)
"),1.22E9)</f>
        <v>1220000000</v>
      </c>
      <c r="E17" s="95">
        <f>IFERROR(__xludf.DUMMYFUNCTION("IFERROR(
  LET(
    x, UPPER(SUBSTITUTE(TRIM(Data!D153),CHAR(160),"""")),
    base, VALUE(SUBSTITUTE(REGEXEXTRACT(x,""[0-9.,]+""),"","","""")),
    mult, IF(REGEXMATCH(x,""B""),1000000000, IF(REGEXMATCH(x,""M""),1000000, 1)),
    base * mult
  ),
  0
)
"),2.65E8)</f>
        <v>265000000</v>
      </c>
      <c r="F17" s="95">
        <f>IFERROR(__xludf.DUMMYFUNCTION("IFERROR(
  LET(
    x, UPPER(SUBSTITUTE(TRIM(Data!E153),CHAR(160),"""")),
    base, VALUE(SUBSTITUTE(REGEXEXTRACT(x,""[0-9.,]+""),"","","""")),
    mult, IF(REGEXMATCH(x,""B""),1000000000, IF(REGEXMATCH(x,""M""),1000000, 1)),
    base * mult
  ),
  0
)
"),1.52E8)</f>
        <v>152000000</v>
      </c>
      <c r="G17" s="96">
        <f>IFERROR(__xludf.DUMMYFUNCTION("IFERROR(
  LET(
    x, UPPER(SUBSTITUTE(TRIM(Data!F153),CHAR(160),"""")),
    base, VALUE(SUBSTITUTE(REGEXEXTRACT(x,""[0-9.,]+""),"","","""")),
    mult, IF(REGEXMATCH(x,""B""),1000000000, IF(REGEXMATCH(x,""M""),1000000, 1)),
    base * mult
  ),
  0
)
"),5.79E8)</f>
        <v>579000000</v>
      </c>
      <c r="H17" s="25">
        <f t="shared" ref="H17:L17" si="6">AVERAGEIF(C17:G17,"&gt;0.5")</f>
        <v>795200000</v>
      </c>
      <c r="I17" s="25">
        <f t="shared" si="6"/>
        <v>602240000</v>
      </c>
      <c r="J17" s="25">
        <f t="shared" si="6"/>
        <v>478688000</v>
      </c>
      <c r="K17" s="25">
        <f t="shared" si="6"/>
        <v>521425600</v>
      </c>
      <c r="L17" s="26">
        <f t="shared" si="6"/>
        <v>595310720</v>
      </c>
    </row>
    <row r="18">
      <c r="B18" s="40" t="s">
        <v>68</v>
      </c>
      <c r="C18" s="91">
        <f>IFERROR(__xludf.DUMMYFUNCTION("IFERROR(
  LET(
    x, UPPER(SUBSTITUTE(TRIM(Data!B154),CHAR(160),"""")),
    base, VALUE(SUBSTITUTE(REGEXEXTRACT(x,""[0-9.,]+""),"","","""")),
    mult, IF(REGEXMATCH(x,""B""),1000000000, IF(REGEXMATCH(x,""M""),1000000, 1)),
    base * mult
  ),
  0
)
"),4.98E9)</f>
        <v>4980000000</v>
      </c>
      <c r="D18" s="91">
        <f>IFERROR(__xludf.DUMMYFUNCTION("IFERROR(
  LET(
    x, UPPER(SUBSTITUTE(TRIM(Data!C154),CHAR(160),"""")),
    base, VALUE(SUBSTITUTE(REGEXEXTRACT(x,""[0-9.,]+""),"","","""")),
    mult, IF(REGEXMATCH(x,""B""),1000000000, IF(REGEXMATCH(x,""M""),1000000, 1)),
    base * mult
  ),
  0
)
"),7.56E9)</f>
        <v>7560000000</v>
      </c>
      <c r="E18" s="91">
        <f>IFERROR(__xludf.DUMMYFUNCTION("IFERROR(
  LET(
    x, UPPER(SUBSTITUTE(TRIM(Data!D154),CHAR(160),"""")),
    base, VALUE(SUBSTITUTE(REGEXEXTRACT(x,""[0-9.,]+""),"","","""")),
    mult, IF(REGEXMATCH(x,""B""),1000000000, IF(REGEXMATCH(x,""M""),1000000, 1)),
    base * mult
  ),
  0
)
"),4.36E9)</f>
        <v>4360000000</v>
      </c>
      <c r="F18" s="91">
        <f>IFERROR(__xludf.DUMMYFUNCTION("IFERROR(
  LET(
    x, UPPER(SUBSTITUTE(TRIM(Data!E154),CHAR(160),"""")),
    base, VALUE(SUBSTITUTE(REGEXEXTRACT(x,""[0-9.,]+""),"","","""")),
    mult, IF(REGEXMATCH(x,""B""),1000000000, IF(REGEXMATCH(x,""M""),1000000, 1)),
    base * mult
  ),
  0
)
"),3.58E9)</f>
        <v>3580000000</v>
      </c>
      <c r="G18" s="91">
        <f>IFERROR(__xludf.DUMMYFUNCTION("IFERROR(
  LET(
    x, UPPER(SUBSTITUTE(TRIM(Data!F154),CHAR(160),"""")),
    base, VALUE(SUBSTITUTE(REGEXEXTRACT(x,""[0-9.,]+""),"","","""")),
    mult, IF(REGEXMATCH(x,""B""),1000000000, IF(REGEXMATCH(x,""M""),1000000, 1)),
    base * mult
  ),
  0
)
"),6.22E9)</f>
        <v>6220000000</v>
      </c>
      <c r="H18" s="97">
        <f t="shared" ref="H18:L18" si="7">G18*(1+H19)</f>
        <v>6575528208</v>
      </c>
      <c r="I18" s="98">
        <f t="shared" si="7"/>
        <v>6754112163</v>
      </c>
      <c r="J18" s="98">
        <f t="shared" si="7"/>
        <v>6734922892</v>
      </c>
      <c r="K18" s="98">
        <f t="shared" si="7"/>
        <v>6513740454</v>
      </c>
      <c r="L18" s="99">
        <f t="shared" si="7"/>
        <v>6104409681</v>
      </c>
    </row>
    <row r="19">
      <c r="B19" s="24" t="s">
        <v>69</v>
      </c>
      <c r="C19" s="75" t="str">
        <f>Data!B155</f>
        <v>-</v>
      </c>
      <c r="D19" s="74">
        <f>Data!C155</f>
        <v>0.5174</v>
      </c>
      <c r="E19" s="74">
        <f>Data!D155</f>
        <v>-0.4238</v>
      </c>
      <c r="F19" s="74">
        <f>Data!E155</f>
        <v>-0.1781</v>
      </c>
      <c r="G19" s="93">
        <f>Data!F155</f>
        <v>0.7369</v>
      </c>
      <c r="H19" s="74">
        <f>(G18/C18)^(1/4)-1</f>
        <v>0.05715887591</v>
      </c>
      <c r="I19" s="74">
        <f t="shared" ref="I19:L19" si="8">H19-3%</f>
        <v>0.02715887591</v>
      </c>
      <c r="J19" s="74">
        <f t="shared" si="8"/>
        <v>-0.002841124089</v>
      </c>
      <c r="K19" s="74">
        <f t="shared" si="8"/>
        <v>-0.03284112409</v>
      </c>
      <c r="L19" s="93">
        <f t="shared" si="8"/>
        <v>-0.06284112409</v>
      </c>
    </row>
    <row r="20"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</sheetData>
  <mergeCells count="3">
    <mergeCell ref="B2:B3"/>
    <mergeCell ref="C2:G2"/>
    <mergeCell ref="H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11" width="18.88"/>
  </cols>
  <sheetData>
    <row r="1" ht="3.75" customHeight="1"/>
    <row r="2">
      <c r="G2" s="101" t="s">
        <v>70</v>
      </c>
    </row>
    <row r="4">
      <c r="B4" s="102" t="s">
        <v>71</v>
      </c>
      <c r="C4" s="16" t="s">
        <v>11</v>
      </c>
      <c r="D4" s="14"/>
      <c r="E4" s="14"/>
      <c r="F4" s="14"/>
      <c r="G4" s="15"/>
      <c r="H4" s="13" t="s">
        <v>12</v>
      </c>
      <c r="I4" s="14"/>
      <c r="J4" s="14"/>
      <c r="K4" s="15"/>
    </row>
    <row r="5">
      <c r="B5" s="103"/>
      <c r="C5" s="19">
        <v>2020.0</v>
      </c>
      <c r="D5" s="18">
        <v>2021.0</v>
      </c>
      <c r="E5" s="18">
        <v>2022.0</v>
      </c>
      <c r="F5" s="18">
        <v>2023.0</v>
      </c>
      <c r="G5" s="20">
        <v>2024.0</v>
      </c>
      <c r="H5" s="19">
        <v>2025.0</v>
      </c>
      <c r="I5" s="18">
        <v>2026.0</v>
      </c>
      <c r="J5" s="18">
        <v>2027.0</v>
      </c>
      <c r="K5" s="20">
        <v>2028.0</v>
      </c>
    </row>
    <row r="6" ht="3.75" customHeight="1">
      <c r="B6" s="21"/>
      <c r="G6" s="22"/>
      <c r="H6" s="82"/>
      <c r="K6" s="22"/>
    </row>
    <row r="7">
      <c r="B7" s="21"/>
      <c r="G7" s="22"/>
      <c r="H7" s="82"/>
      <c r="K7" s="22"/>
    </row>
    <row r="8">
      <c r="B8" s="65" t="s">
        <v>13</v>
      </c>
      <c r="C8" s="25">
        <f>'Income Statement'!C15</f>
        <v>53820000000</v>
      </c>
      <c r="D8" s="25">
        <f>'Income Statement'!D15</f>
        <v>81460000000</v>
      </c>
      <c r="E8" s="25">
        <f>'Income Statement'!E15</f>
        <v>96770000000</v>
      </c>
      <c r="F8" s="25">
        <f>'Income Statement'!F15</f>
        <v>97690000000</v>
      </c>
      <c r="G8" s="25">
        <f>'Income Statement'!G15</f>
        <v>94830000000</v>
      </c>
      <c r="H8" s="104">
        <v>1.0243E11</v>
      </c>
      <c r="I8" s="105">
        <v>1.179E11</v>
      </c>
      <c r="J8" s="105">
        <v>1.3927E11</v>
      </c>
      <c r="K8" s="106">
        <v>2.2E11</v>
      </c>
    </row>
    <row r="9">
      <c r="A9" s="36"/>
      <c r="B9" s="30" t="s">
        <v>72</v>
      </c>
      <c r="C9" s="29" t="s">
        <v>19</v>
      </c>
      <c r="D9" s="107">
        <f t="shared" ref="D9:K9" si="1">D8/C8-1</f>
        <v>0.513563731</v>
      </c>
      <c r="E9" s="107">
        <f t="shared" si="1"/>
        <v>0.1879450037</v>
      </c>
      <c r="F9" s="107">
        <f t="shared" si="1"/>
        <v>0.00950707864</v>
      </c>
      <c r="G9" s="107">
        <f t="shared" si="1"/>
        <v>-0.02927628212</v>
      </c>
      <c r="H9" s="108">
        <f t="shared" si="1"/>
        <v>0.08014341453</v>
      </c>
      <c r="I9" s="107">
        <f t="shared" si="1"/>
        <v>0.1510299717</v>
      </c>
      <c r="J9" s="107">
        <f t="shared" si="1"/>
        <v>0.1812553011</v>
      </c>
      <c r="K9" s="109">
        <f t="shared" si="1"/>
        <v>0.5796653981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3.75" customHeight="1">
      <c r="B10" s="21"/>
      <c r="H10" s="82"/>
      <c r="K10" s="22"/>
    </row>
    <row r="11">
      <c r="B11" s="21"/>
      <c r="G11" s="22"/>
      <c r="H11" s="82"/>
      <c r="K11" s="22"/>
    </row>
    <row r="12">
      <c r="B12" s="65" t="s">
        <v>26</v>
      </c>
      <c r="C12" s="25">
        <f>IFERROR(__xludf.DUMMYFUNCTION("IFERROR(
  LET(
    x, UPPER(SUBSTITUTE(TRIM(Data!B22),CHAR(160),"""")),
    neg, IF(LEFT(x,1)=""("", -1, 1),
    numtext, REGEXEXTRACT(x,""[0-9.,]+""),
    base, VALUE(SUBSTITUTE(numtext,"","","""")),
    mult, IF(REGEXMATCH(x,""B""),1000000000, IF(REGEX"&amp;"MATCH(x,""M""),1000000, 1)),
    neg * base * mult
  ),
  0
)
"),6.54E9)</f>
        <v>6540000000</v>
      </c>
      <c r="D12" s="25">
        <f>IFERROR(__xludf.DUMMYFUNCTION("IFERROR(
  LET(
    x, UPPER(SUBSTITUTE(TRIM(Data!C22),CHAR(160),"""")),
    neg, IF(LEFT(x,1)=""("", -1, 1),
    numtext, REGEXEXTRACT(x,""[0-9.,]+""),
    base, VALUE(SUBSTITUTE(numtext,"","","""")),
    mult, IF(REGEXMATCH(x,""B""),1000000000, IF(REGEX"&amp;"MATCH(x,""M""),1000000, 1)),
    neg * base * mult
  ),
  0
)
"),1.368E10)</f>
        <v>13680000000</v>
      </c>
      <c r="E12" s="25">
        <f>IFERROR(__xludf.DUMMYFUNCTION("IFERROR(
  LET(
    x, UPPER(SUBSTITUTE(TRIM(Data!D22),CHAR(160),"""")),
    neg, IF(LEFT(x,1)=""("", -1, 1),
    numtext, REGEXEXTRACT(x,""[0-9.,]+""),
    base, VALUE(SUBSTITUTE(numtext,"","","""")),
    mult, IF(REGEXMATCH(x,""B""),1000000000, IF(REGEX"&amp;"MATCH(x,""M""),1000000, 1)),
    neg * base * mult
  ),
  0
)
"),8.89E9)</f>
        <v>8890000000</v>
      </c>
      <c r="F12" s="25">
        <f>IFERROR(__xludf.DUMMYFUNCTION("IFERROR(
  LET(
    x, UPPER(SUBSTITUTE(TRIM(Data!E22),CHAR(160),"""")),
    neg, IF(LEFT(x,1)=""("", -1, 1),
    numtext, REGEXEXTRACT(x,""[0-9.,]+""),
    base, VALUE(SUBSTITUTE(numtext,"","","""")),
    mult, IF(REGEXMATCH(x,""B""),1000000000, IF(REGEX"&amp;"MATCH(x,""M""),1000000, 1)),
    neg * base * mult
  ),
  0
)
"),7.09E9)</f>
        <v>7090000000</v>
      </c>
      <c r="G12" s="25">
        <f>IFERROR(__xludf.DUMMYFUNCTION("IFERROR(
  LET(
    x, UPPER(SUBSTITUTE(TRIM(Data!F22),CHAR(160),"""")),
    neg, IF(LEFT(x,1)=""("", -1, 1),
    numtext, REGEXEXTRACT(x,""[0-9.,]+""),
    base, VALUE(SUBSTITUTE(numtext,"","","""")),
    mult, IF(REGEXMATCH(x,""B""),1000000000, IF(REGEX"&amp;"MATCH(x,""M""),1000000, 1)),
    neg * base * mult
  ),
  0
)
"),4.29E9)</f>
        <v>4290000000</v>
      </c>
      <c r="H12" s="110">
        <f t="shared" ref="H12:K12" si="2">H8*H13</f>
        <v>7159265647</v>
      </c>
      <c r="I12" s="25">
        <f t="shared" si="2"/>
        <v>8240529335</v>
      </c>
      <c r="J12" s="25">
        <f t="shared" si="2"/>
        <v>9734168960</v>
      </c>
      <c r="K12" s="26">
        <f t="shared" si="2"/>
        <v>15376729887</v>
      </c>
    </row>
    <row r="13">
      <c r="B13" s="30" t="s">
        <v>73</v>
      </c>
      <c r="C13" s="74">
        <f t="shared" ref="C13:G13" si="3">C12/C8</f>
        <v>0.121516165</v>
      </c>
      <c r="D13" s="74">
        <f t="shared" si="3"/>
        <v>0.1679351829</v>
      </c>
      <c r="E13" s="74">
        <f t="shared" si="3"/>
        <v>0.09186731425</v>
      </c>
      <c r="F13" s="74">
        <f t="shared" si="3"/>
        <v>0.07257651756</v>
      </c>
      <c r="G13" s="93">
        <f t="shared" si="3"/>
        <v>0.04523884847</v>
      </c>
      <c r="H13" s="108">
        <f>AVERAGEIF(E13:G13,"&gt;0.01")</f>
        <v>0.06989422676</v>
      </c>
      <c r="I13" s="107">
        <f t="shared" ref="I13:K13" si="4">H13</f>
        <v>0.06989422676</v>
      </c>
      <c r="J13" s="107">
        <f t="shared" si="4"/>
        <v>0.06989422676</v>
      </c>
      <c r="K13" s="109">
        <f t="shared" si="4"/>
        <v>0.06989422676</v>
      </c>
    </row>
    <row r="14" ht="3.75" customHeight="1">
      <c r="B14" s="24"/>
      <c r="G14" s="22"/>
      <c r="H14" s="82"/>
      <c r="K14" s="22"/>
    </row>
    <row r="15">
      <c r="B15" s="24"/>
      <c r="G15" s="22"/>
      <c r="H15" s="82"/>
      <c r="K15" s="22"/>
    </row>
    <row r="16">
      <c r="B16" s="65" t="s">
        <v>74</v>
      </c>
      <c r="C16" s="25">
        <f>IFERROR(__xludf.DUMMYFUNCTION("IFERROR(
  LET(
    x, UPPER(SUBSTITUTE(TRIM(Data!B33),CHAR(160),"""")),
    neg, IF(LEFT(x,1)=""("", -1, 1),
    numtext, REGEXEXTRACT(x,""[0-9.,]+""),
    base, VALUE(SUBSTITUTE(numtext,"","","""")),
    mult, IF(REGEXMATCH(x,""B""),1000000000, IF(REGEX"&amp;"MATCH(x,""M""),1000000, 1)),
    neg * base * mult
  ),
  0
)
"),6.99E8)</f>
        <v>699000000</v>
      </c>
      <c r="D16" s="25">
        <f>IFERROR(__xludf.DUMMYFUNCTION("IFERROR(
  LET(
    x, UPPER(SUBSTITUTE(TRIM(Data!C33),CHAR(160),"""")),
    neg, IF(LEFT(x,1)=""("", -1, 1),
    numtext, REGEXEXTRACT(x,""[0-9.,]+""),
    base, VALUE(SUBSTITUTE(numtext,"","","""")),
    mult, IF(REGEXMATCH(x,""B""),1000000000, IF(REGEX"&amp;"MATCH(x,""M""),1000000, 1)),
    neg * base * mult
  ),
  0
)
"),1.13E9)</f>
        <v>1130000000</v>
      </c>
      <c r="E16" s="25">
        <f>IFERROR(__xludf.DUMMYFUNCTION("IFERROR(
  LET(
    x, UPPER(SUBSTITUTE(TRIM(Data!D33),CHAR(160),"""")),
    neg, IF(LEFT(x,1)=""("", -1, 1),
    numtext, REGEXEXTRACT(x,""[0-9.,]+""),
    base, VALUE(SUBSTITUTE(numtext,"","","""")),
    mult, IF(REGEXMATCH(x,""B""),1000000000, IF(REGEX"&amp;"MATCH(x,""M""),1000000, 1)),
    neg * base * mult
  ),
  0
)
"),-5.0E9)</f>
        <v>-5000000000</v>
      </c>
      <c r="F16" s="25">
        <f>IFERROR(__xludf.DUMMYFUNCTION("IFERROR(
  LET(
    x, UPPER(SUBSTITUTE(TRIM(Data!E33),CHAR(160),"""")),
    neg, IF(LEFT(x,1)=""("", -1, 1),
    numtext, REGEXEXTRACT(x,""[0-9.,]+""),
    base, VALUE(SUBSTITUTE(numtext,"","","""")),
    mult, IF(REGEXMATCH(x,""B""),1000000000, IF(REGEX"&amp;"MATCH(x,""M""),1000000, 1)),
    neg * base * mult
  ),
  0
)
"),1.84E9)</f>
        <v>1840000000</v>
      </c>
      <c r="G16" s="25">
        <f>IFERROR(__xludf.DUMMYFUNCTION("IFERROR(
  LET(
    x, UPPER(SUBSTITUTE(TRIM(Data!F33),CHAR(160),"""")),
    neg, IF(LEFT(x,1)=""("", -1, 1),
    numtext, REGEXEXTRACT(x,""[0-9.,]+""),
    base, VALUE(SUBSTITUTE(numtext,"","","""")),
    mult, IF(REGEXMATCH(x,""B""),1000000000, IF(REGEX"&amp;"MATCH(x,""M""),1000000, 1)),
    neg * base * mult
  ),
  0
)
"),1.42E9)</f>
        <v>1420000000</v>
      </c>
      <c r="H16" s="110">
        <f t="shared" ref="H16:K16" si="5">H17*H12</f>
        <v>2113854735</v>
      </c>
      <c r="I16" s="25">
        <f t="shared" si="5"/>
        <v>2433110155</v>
      </c>
      <c r="J16" s="25">
        <f t="shared" si="5"/>
        <v>2874124269</v>
      </c>
      <c r="K16" s="26">
        <f t="shared" si="5"/>
        <v>4540154658</v>
      </c>
    </row>
    <row r="17">
      <c r="A17" s="36"/>
      <c r="B17" s="30" t="s">
        <v>75</v>
      </c>
      <c r="C17" s="107">
        <f t="shared" ref="C17:G17" si="6">C16/C12</f>
        <v>0.1068807339</v>
      </c>
      <c r="D17" s="107">
        <f t="shared" si="6"/>
        <v>0.08260233918</v>
      </c>
      <c r="E17" s="107">
        <f t="shared" si="6"/>
        <v>-0.5624296963</v>
      </c>
      <c r="F17" s="107">
        <f t="shared" si="6"/>
        <v>0.2595204513</v>
      </c>
      <c r="G17" s="109">
        <f t="shared" si="6"/>
        <v>0.331002331</v>
      </c>
      <c r="H17" s="108">
        <f>AVERAGEIF(E17:G17,"&gt;0.01")</f>
        <v>0.2952613912</v>
      </c>
      <c r="I17" s="107">
        <f t="shared" ref="I17:K17" si="7">H17</f>
        <v>0.2952613912</v>
      </c>
      <c r="J17" s="107">
        <f t="shared" si="7"/>
        <v>0.2952613912</v>
      </c>
      <c r="K17" s="109">
        <f t="shared" si="7"/>
        <v>0.2952613912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3.75" customHeight="1">
      <c r="B18" s="24"/>
      <c r="G18" s="22"/>
      <c r="H18" s="82"/>
      <c r="K18" s="22"/>
    </row>
    <row r="19">
      <c r="B19" s="24"/>
      <c r="G19" s="22"/>
      <c r="H19" s="82"/>
      <c r="K19" s="22"/>
    </row>
    <row r="20">
      <c r="B20" s="40" t="s">
        <v>76</v>
      </c>
      <c r="C20" s="111" t="s">
        <v>19</v>
      </c>
      <c r="D20" s="111" t="s">
        <v>19</v>
      </c>
      <c r="E20" s="111" t="s">
        <v>19</v>
      </c>
      <c r="F20" s="111" t="s">
        <v>19</v>
      </c>
      <c r="G20" s="112" t="s">
        <v>19</v>
      </c>
      <c r="H20" s="97">
        <f t="shared" ref="H20:K20" si="8">H12-H16</f>
        <v>5045410912</v>
      </c>
      <c r="I20" s="98">
        <f t="shared" si="8"/>
        <v>5807419179</v>
      </c>
      <c r="J20" s="98">
        <f t="shared" si="8"/>
        <v>6860044691</v>
      </c>
      <c r="K20" s="99">
        <f t="shared" si="8"/>
        <v>10836575229</v>
      </c>
    </row>
    <row r="21" ht="3.75" customHeight="1">
      <c r="B21" s="24"/>
      <c r="G21" s="22"/>
      <c r="H21" s="82"/>
      <c r="K21" s="22"/>
    </row>
    <row r="22">
      <c r="B22" s="24"/>
      <c r="G22" s="22"/>
      <c r="H22" s="82"/>
      <c r="K22" s="22"/>
    </row>
    <row r="23">
      <c r="B23" s="65" t="s">
        <v>77</v>
      </c>
      <c r="C23" s="25">
        <f>IFERROR(__xludf.DUMMYFUNCTION("IFERROR(
  LET(
    x, UPPER(SUBSTITUTE(TRIM(Data!B114),CHAR(160),"""")),
    neg, IF(LEFT(x,1)=""("", -1, 1),
    numtext, REGEXEXTRACT(x,""[0-9.,]+""),
    base, VALUE(SUBSTITUTE(numtext,"","","""")),
    mult, IF(REGEXMATCH(x,""B""),1000000000, IF(REGE"&amp;"XMATCH(x,""M""),1000000, 1)),
    neg * base * mult
  ),
  0
)
"),2.91E9)</f>
        <v>2910000000</v>
      </c>
      <c r="D23" s="25">
        <f>IFERROR(__xludf.DUMMYFUNCTION("IFERROR(
  LET(
    x, UPPER(SUBSTITUTE(TRIM(Data!C114),CHAR(160),"""")),
    neg, IF(LEFT(x,1)=""("", -1, 1),
    numtext, REGEXEXTRACT(x,""[0-9.,]+""),
    base, VALUE(SUBSTITUTE(numtext,"","","""")),
    mult, IF(REGEXMATCH(x,""B""),1000000000, IF(REGE"&amp;"XMATCH(x,""M""),1000000, 1)),
    neg * base * mult
  ),
  0
)
"),3.75E9)</f>
        <v>3750000000</v>
      </c>
      <c r="E23" s="25">
        <f>IFERROR(__xludf.DUMMYFUNCTION("IFERROR(
  LET(
    x, UPPER(SUBSTITUTE(TRIM(Data!D114),CHAR(160),"""")),
    neg, IF(LEFT(x,1)=""("", -1, 1),
    numtext, REGEXEXTRACT(x,""[0-9.,]+""),
    base, VALUE(SUBSTITUTE(numtext,"","","""")),
    mult, IF(REGEXMATCH(x,""B""),1000000000, IF(REGE"&amp;"XMATCH(x,""M""),1000000, 1)),
    neg * base * mult
  ),
  0
)
"),4.67E9)</f>
        <v>4670000000</v>
      </c>
      <c r="F23" s="25">
        <f>IFERROR(__xludf.DUMMYFUNCTION("IFERROR(
  LET(
    x, UPPER(SUBSTITUTE(TRIM(Data!E114),CHAR(160),"""")),
    neg, IF(LEFT(x,1)=""("", -1, 1),
    numtext, REGEXEXTRACT(x,""[0-9.,]+""),
    base, VALUE(SUBSTITUTE(numtext,"","","""")),
    mult, IF(REGEXMATCH(x,""B""),1000000000, IF(REGE"&amp;"XMATCH(x,""M""),1000000, 1)),
    neg * base * mult
  ),
  0
)
"),5.37E9)</f>
        <v>5370000000</v>
      </c>
      <c r="G23" s="26">
        <f>IFERROR(__xludf.DUMMYFUNCTION("IFERROR(
  LET(
    x, UPPER(SUBSTITUTE(TRIM(Data!F114),CHAR(160),"""")),
    neg, IF(LEFT(x,1)=""("", -1, 1),
    numtext, REGEXEXTRACT(x,""[0-9.,]+""),
    base, VALUE(SUBSTITUTE(numtext,"","","""")),
    mult, IF(REGEXMATCH(x,""B""),1000000000, IF(REGE"&amp;"XMATCH(x,""M""),1000000, 1)),
    neg * base * mult
  ),
  0
)
"),6.15E9)</f>
        <v>6150000000</v>
      </c>
      <c r="H23" s="25">
        <f t="shared" ref="H23:K23" si="9">H8*H24</f>
        <v>5738861144</v>
      </c>
      <c r="I23" s="25">
        <f t="shared" si="9"/>
        <v>6605601180</v>
      </c>
      <c r="J23" s="25">
        <f t="shared" si="9"/>
        <v>7802901411</v>
      </c>
      <c r="K23" s="26">
        <f t="shared" si="9"/>
        <v>12325973364</v>
      </c>
    </row>
    <row r="24">
      <c r="A24" s="36"/>
      <c r="B24" s="30" t="s">
        <v>73</v>
      </c>
      <c r="C24" s="107">
        <f t="shared" ref="C24:G24" si="10">C23/C8</f>
        <v>0.05406911929</v>
      </c>
      <c r="D24" s="107">
        <f t="shared" si="10"/>
        <v>0.04603486374</v>
      </c>
      <c r="E24" s="107">
        <f t="shared" si="10"/>
        <v>0.04825875788</v>
      </c>
      <c r="F24" s="107">
        <f t="shared" si="10"/>
        <v>0.05496980244</v>
      </c>
      <c r="G24" s="107">
        <f t="shared" si="10"/>
        <v>0.06485289465</v>
      </c>
      <c r="H24" s="108">
        <f>AVERAGE(E24:G24)</f>
        <v>0.05602715166</v>
      </c>
      <c r="I24" s="107">
        <f t="shared" ref="I24:K24" si="11">H24</f>
        <v>0.05602715166</v>
      </c>
      <c r="J24" s="107">
        <f t="shared" si="11"/>
        <v>0.05602715166</v>
      </c>
      <c r="K24" s="109">
        <f t="shared" si="11"/>
        <v>0.05602715166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3.75" customHeight="1">
      <c r="B25" s="24"/>
      <c r="G25" s="22"/>
      <c r="H25" s="82"/>
      <c r="K25" s="22"/>
    </row>
    <row r="26">
      <c r="B26" s="24"/>
      <c r="G26" s="22"/>
      <c r="H26" s="82"/>
      <c r="K26" s="22"/>
    </row>
    <row r="27">
      <c r="B27" s="65" t="s">
        <v>78</v>
      </c>
      <c r="C27" s="25">
        <f>IFERROR(__xludf.DUMMYFUNCTION("IFERROR(
  LET(
    x, UPPER(SUBSTITUTE(TRIM(Data!B380),CHAR(160),"""")),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"),-8.01E9)</f>
        <v>-8010000000</v>
      </c>
      <c r="D27" s="25">
        <f>IFERROR(__xludf.DUMMYFUNCTION("IFERROR(
  LET(
    x, UPPER(SUBSTITUTE(TRIM(Data!C380),CHAR(160),"""")),
    neg, IF(LEFT(x,1)=""("", -1, 1),
    numtext, REGEXEXTRACT(x,""[0-9.,]+""),
    base, VALUE(SUBSTITUTE(numtext,"","","""")),
    mult, IF(REGEXMATCH(x,""B""),1000000000, IF(REGE"&amp;"XMATCH(x,""M""),1000000, 1)),
    neg * base * mult
  ),
  0
)
"),-7.17E9)</f>
        <v>-7170000000</v>
      </c>
      <c r="E27" s="25">
        <f>IFERROR(__xludf.DUMMYFUNCTION("IFERROR(
  LET(
    x, UPPER(SUBSTITUTE(TRIM(Data!D380),CHAR(160),"""")),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"),-8.9E9)</f>
        <v>-8900000000</v>
      </c>
      <c r="F27" s="25">
        <f>IFERROR(__xludf.DUMMYFUNCTION("IFERROR(
  LET(
    x, UPPER(SUBSTITUTE(TRIM(Data!E380),CHAR(160),"""")),
    neg, IF(LEFT(x,1)=""("", -1, 1),
    numtext, REGEXEXTRACT(x,""[0-9.,]+""),
    base, VALUE(SUBSTITUTE(numtext,"","","""")),
    mult, IF(REGEXMATCH(x,""B""),1000000000, IF(REGE"&amp;"XMATCH(x,""M""),1000000, 1)),
    neg * base * mult
  ),
  0
)
"),-1.134E10)</f>
        <v>-11340000000</v>
      </c>
      <c r="G27" s="25">
        <f>IFERROR(__xludf.DUMMYFUNCTION("IFERROR(
  LET(
    x, UPPER(SUBSTITUTE(TRIM(Data!F380),CHAR(160),"""")),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"),-8.529999999999999E9)</f>
        <v>-8530000000</v>
      </c>
      <c r="H27" s="110">
        <f t="shared" ref="H27:K27" si="12">H28*H8</f>
        <v>-10174801147</v>
      </c>
      <c r="I27" s="25">
        <f t="shared" si="12"/>
        <v>-11711501077</v>
      </c>
      <c r="J27" s="25">
        <f t="shared" si="12"/>
        <v>-13834272731</v>
      </c>
      <c r="K27" s="26">
        <f t="shared" si="12"/>
        <v>-21853521941</v>
      </c>
    </row>
    <row r="28">
      <c r="A28" s="36"/>
      <c r="B28" s="30" t="s">
        <v>73</v>
      </c>
      <c r="C28" s="107">
        <f t="shared" ref="C28:G28" si="13">C27/C8</f>
        <v>-0.1488294314</v>
      </c>
      <c r="D28" s="107">
        <f t="shared" si="13"/>
        <v>-0.08801865946</v>
      </c>
      <c r="E28" s="107">
        <f t="shared" si="13"/>
        <v>-0.09197065206</v>
      </c>
      <c r="F28" s="107">
        <f t="shared" si="13"/>
        <v>-0.1160814822</v>
      </c>
      <c r="G28" s="107">
        <f t="shared" si="13"/>
        <v>-0.08995043763</v>
      </c>
      <c r="H28" s="108">
        <f>AVERAGE(E28:G28)</f>
        <v>-0.09933419064</v>
      </c>
      <c r="I28" s="107">
        <f t="shared" ref="I28:K28" si="14">H28</f>
        <v>-0.09933419064</v>
      </c>
      <c r="J28" s="107">
        <f t="shared" si="14"/>
        <v>-0.09933419064</v>
      </c>
      <c r="K28" s="109">
        <f t="shared" si="14"/>
        <v>-0.09933419064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3.75" customHeight="1">
      <c r="B29" s="24"/>
      <c r="G29" s="22"/>
      <c r="H29" s="82"/>
      <c r="K29" s="22"/>
    </row>
    <row r="30">
      <c r="B30" s="24"/>
      <c r="G30" s="22"/>
      <c r="H30" s="110"/>
      <c r="I30" s="25"/>
      <c r="J30" s="25"/>
      <c r="K30" s="26"/>
    </row>
    <row r="31">
      <c r="B31" s="65" t="s">
        <v>79</v>
      </c>
      <c r="C31" s="25">
        <f>IFERROR(__xludf.DUMMYFUNCTION("IFERROR(
  LET(
    x, UPPER(SUBSTITUTE(TRIM(Data!B123),CHAR(160),"""")),
    neg, IF(LEFT(x,1)=""("", -1, 1),
    numtext, REGEXEXTRACT(x,""[0-9.,]+""),
    base, VALUE(SUBSTITUTE(numtext,"","","""")),
    mult, IF(REGEXMATCH(x,""B""),1000000000, IF(REGE"&amp;"XMATCH(x,""M""),1000000, 1)),
    neg * base * mult
  ),
  0
)
"),5.18E8)</f>
        <v>518000000</v>
      </c>
      <c r="D31" s="25">
        <f>IFERROR(__xludf.DUMMYFUNCTION("IFERROR(
  LET(
    x, UPPER(SUBSTITUTE(TRIM(Data!C123),CHAR(160),"""")),
    neg, IF(LEFT(x,1)=""("", -1, 1),
    numtext, REGEXEXTRACT(x,""[0-9.,]+""),
    base, VALUE(SUBSTITUTE(numtext,"","","""")),
    mult, IF(REGEXMATCH(x,""B""),1000000000, IF(REGE"&amp;"XMATCH(x,""M""),1000000, 1)),
    neg * base * mult
  ),
  0
)
"),-3.91E9)</f>
        <v>-3910000000</v>
      </c>
      <c r="E31" s="25">
        <f>IFERROR(__xludf.DUMMYFUNCTION("IFERROR(
  LET(
    x, UPPER(SUBSTITUTE(TRIM(Data!D123),CHAR(160),"""")),
    neg, IF(LEFT(x,1)=""("", -1, 1),
    numtext, REGEXEXTRACT(x,""[0-9.,]+""),
    base, VALUE(SUBSTITUTE(numtext,"","","""")),
    mult, IF(REGEXMATCH(x,""B""),1000000000, IF(REGE"&amp;"XMATCH(x,""M""),1000000, 1)),
    neg * base * mult
  ),
  0
)
"),-2.25E9)</f>
        <v>-2250000000</v>
      </c>
      <c r="F31" s="25">
        <f>IFERROR(__xludf.DUMMYFUNCTION("IFERROR(
  LET(
    x, UPPER(SUBSTITUTE(TRIM(Data!E123),CHAR(160),"""")),
    neg, IF(LEFT(x,1)=""("", -1, 1),
    numtext, REGEXEXTRACT(x,""[0-9.,]+""),
    base, VALUE(SUBSTITUTE(numtext,"","","""")),
    mult, IF(REGEXMATCH(x,""B""),1000000000, IF(REGE"&amp;"XMATCH(x,""M""),1000000, 1)),
    neg * base * mult
  ),
  0
)
"),8.1E7)</f>
        <v>81000000</v>
      </c>
      <c r="G31" s="25">
        <f>IFERROR(__xludf.DUMMYFUNCTION("IFERROR(
  LET(
    x, UPPER(SUBSTITUTE(TRIM(Data!F123),CHAR(160),"""")),
    neg, IF(LEFT(x,1)=""("", -1, 1),
    numtext, REGEXEXTRACT(x,""[0-9.,]+""),
    base, VALUE(SUBSTITUTE(numtext,"","","""")),
    mult, IF(REGEXMATCH(x,""B""),1000000000, IF(REGE"&amp;"XMATCH(x,""M""),1000000, 1)),
    neg * base * mult
  ),
  0
)
"),6.42E8)</f>
        <v>642000000</v>
      </c>
      <c r="H31" s="110">
        <f t="shared" ref="H31:K31" si="15">H32*H8</f>
        <v>-534406147.7</v>
      </c>
      <c r="I31" s="25">
        <f t="shared" si="15"/>
        <v>-615117493.1</v>
      </c>
      <c r="J31" s="25">
        <f t="shared" si="15"/>
        <v>-726610799.5</v>
      </c>
      <c r="K31" s="26">
        <f t="shared" si="15"/>
        <v>-1147801938</v>
      </c>
    </row>
    <row r="32">
      <c r="A32" s="36"/>
      <c r="B32" s="30" t="s">
        <v>73</v>
      </c>
      <c r="C32" s="107">
        <f t="shared" ref="C32:G32" si="16">C31/C8</f>
        <v>0.009624674842</v>
      </c>
      <c r="D32" s="107">
        <f t="shared" si="16"/>
        <v>-0.04799901792</v>
      </c>
      <c r="E32" s="107">
        <f t="shared" si="16"/>
        <v>-0.02325100754</v>
      </c>
      <c r="F32" s="107">
        <f t="shared" si="16"/>
        <v>0.0008291534446</v>
      </c>
      <c r="G32" s="107">
        <f t="shared" si="16"/>
        <v>0.006770009491</v>
      </c>
      <c r="H32" s="108">
        <f>AVERAGE(E32:G32)</f>
        <v>-0.005217281536</v>
      </c>
      <c r="I32" s="107">
        <f t="shared" ref="I32:K32" si="17">H32</f>
        <v>-0.005217281536</v>
      </c>
      <c r="J32" s="107">
        <f t="shared" si="17"/>
        <v>-0.005217281536</v>
      </c>
      <c r="K32" s="109">
        <f t="shared" si="17"/>
        <v>-0.005217281536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3.75" customHeight="1">
      <c r="B33" s="24"/>
      <c r="G33" s="22"/>
      <c r="H33" s="82"/>
      <c r="K33" s="22"/>
    </row>
    <row r="34">
      <c r="B34" s="24"/>
      <c r="G34" s="22"/>
      <c r="H34" s="82"/>
      <c r="K34" s="22"/>
    </row>
    <row r="35">
      <c r="B35" s="65" t="s">
        <v>80</v>
      </c>
      <c r="C35" s="75" t="str">
        <f t="shared" ref="C35:G35" si="18">C20</f>
        <v>-</v>
      </c>
      <c r="D35" s="75" t="str">
        <f t="shared" si="18"/>
        <v>-</v>
      </c>
      <c r="E35" s="75" t="str">
        <f t="shared" si="18"/>
        <v>-</v>
      </c>
      <c r="F35" s="75" t="str">
        <f t="shared" si="18"/>
        <v>-</v>
      </c>
      <c r="G35" s="75" t="str">
        <f t="shared" si="18"/>
        <v>-</v>
      </c>
      <c r="H35" s="110">
        <f t="shared" ref="H35:K35" si="19">H20+H23-H27-H31</f>
        <v>21493479352</v>
      </c>
      <c r="I35" s="25">
        <f t="shared" si="19"/>
        <v>24739638929</v>
      </c>
      <c r="J35" s="25">
        <f t="shared" si="19"/>
        <v>29223829633</v>
      </c>
      <c r="K35" s="26">
        <f t="shared" si="19"/>
        <v>46163872472</v>
      </c>
    </row>
    <row r="36" ht="3.75" customHeight="1">
      <c r="B36" s="21"/>
      <c r="H36" s="82"/>
      <c r="K36" s="22"/>
    </row>
    <row r="37">
      <c r="B37" s="21"/>
      <c r="H37" s="82"/>
      <c r="K37" s="22"/>
    </row>
    <row r="38">
      <c r="B38" s="24" t="s">
        <v>81</v>
      </c>
      <c r="H38" s="82"/>
      <c r="K38" s="22"/>
    </row>
    <row r="39">
      <c r="B39" s="24" t="s">
        <v>82</v>
      </c>
      <c r="C39" s="23" t="s">
        <v>19</v>
      </c>
      <c r="D39" s="23" t="s">
        <v>19</v>
      </c>
      <c r="E39" s="23" t="s">
        <v>19</v>
      </c>
      <c r="F39" s="23" t="s">
        <v>19</v>
      </c>
      <c r="G39" s="23" t="s">
        <v>19</v>
      </c>
      <c r="H39" s="85"/>
      <c r="K39" s="113"/>
    </row>
    <row r="40">
      <c r="B40" s="24" t="s">
        <v>83</v>
      </c>
      <c r="C40" s="23" t="s">
        <v>19</v>
      </c>
      <c r="D40" s="23" t="s">
        <v>19</v>
      </c>
      <c r="E40" s="23" t="s">
        <v>19</v>
      </c>
      <c r="F40" s="23" t="s">
        <v>19</v>
      </c>
      <c r="G40" s="23" t="s">
        <v>19</v>
      </c>
      <c r="H40" s="114"/>
      <c r="I40" s="115"/>
      <c r="J40" s="115"/>
      <c r="K40" s="116"/>
    </row>
    <row r="41" ht="3.75" customHeight="1">
      <c r="B41" s="21"/>
      <c r="H41" s="82"/>
      <c r="K41" s="22"/>
    </row>
    <row r="42">
      <c r="B42" s="21"/>
      <c r="H42" s="82"/>
      <c r="K42" s="22"/>
    </row>
    <row r="43">
      <c r="B43" s="24" t="s">
        <v>84</v>
      </c>
      <c r="C43" s="117" t="s">
        <v>19</v>
      </c>
      <c r="D43" s="117" t="s">
        <v>19</v>
      </c>
      <c r="E43" s="117" t="s">
        <v>19</v>
      </c>
      <c r="F43" s="117" t="s">
        <v>19</v>
      </c>
      <c r="G43" s="117" t="s">
        <v>19</v>
      </c>
      <c r="H43" s="110">
        <f>H35/(1+$C$66)^1</f>
        <v>19621152929</v>
      </c>
      <c r="I43" s="118">
        <f>I35/(1+$C$66)^2</f>
        <v>20617165318</v>
      </c>
      <c r="J43" s="25">
        <f>J35/(1+$C$66)^3</f>
        <v>22232613700</v>
      </c>
      <c r="K43" s="26">
        <f>K35/(1+$C$66)^4</f>
        <v>32060731385</v>
      </c>
    </row>
    <row r="44" ht="3.75" customHeight="1">
      <c r="B44" s="100"/>
      <c r="H44" s="100"/>
      <c r="J44" s="100"/>
      <c r="K44" s="100"/>
    </row>
    <row r="46">
      <c r="B46" s="119" t="s">
        <v>85</v>
      </c>
      <c r="C46" s="120"/>
    </row>
    <row r="47" ht="3.75" customHeight="1">
      <c r="B47" s="21"/>
      <c r="C47" s="22"/>
    </row>
    <row r="48">
      <c r="B48" s="21"/>
      <c r="C48" s="22"/>
    </row>
    <row r="49">
      <c r="B49" s="121" t="s">
        <v>86</v>
      </c>
      <c r="C49" s="106">
        <f>IFERROR(__xludf.DUMMYFUNCTION("GOOGLEFINANCE('Income Statement'!D1,""marketcap"")"),1.23286380975E12)</f>
        <v>1232863809750</v>
      </c>
    </row>
    <row r="50">
      <c r="B50" s="121" t="s">
        <v>87</v>
      </c>
      <c r="C50" s="122">
        <f>C49/C63</f>
        <v>0.9902569797</v>
      </c>
    </row>
    <row r="51">
      <c r="B51" s="121" t="s">
        <v>88</v>
      </c>
      <c r="C51" s="93">
        <f>C52+(C53*C54)</f>
        <v>0.096143</v>
      </c>
    </row>
    <row r="52">
      <c r="B52" s="121" t="s">
        <v>89</v>
      </c>
      <c r="C52" s="93">
        <f>Data!A399</f>
        <v>0.0449</v>
      </c>
      <c r="F52" s="39"/>
    </row>
    <row r="53">
      <c r="B53" s="121" t="s">
        <v>90</v>
      </c>
      <c r="C53" s="123">
        <f>Data!C315</f>
        <v>0.93</v>
      </c>
    </row>
    <row r="54">
      <c r="B54" s="124" t="s">
        <v>91</v>
      </c>
      <c r="C54" s="125">
        <f>10%-C52</f>
        <v>0.0551</v>
      </c>
    </row>
    <row r="55" ht="3.75" customHeight="1">
      <c r="B55" s="21"/>
      <c r="C55" s="22"/>
    </row>
    <row r="56">
      <c r="B56" s="21"/>
      <c r="C56" s="22"/>
    </row>
    <row r="57">
      <c r="B57" s="24" t="s">
        <v>92</v>
      </c>
      <c r="C57" s="26">
        <f>IFERROR(__xludf.DUMMYFUNCTION("IFERROR(
  LET(
    x, UPPER(SUBSTITUTE(TRIM(Data!F344),CHAR(160),"""")),
    neg, IF(LEFT(x,1)=""("", -1, 1),
    numtext, REGEXEXTRACT(x,""[0-9.,]+""),
    base, VALUE(SUBSTITUTE(numtext,"","","""")),
    mult, IF(REGEXMATCH(x,""B""),1000000000, IF(REGE"&amp;"XMATCH(x,""M""),1000000, 1)),
    neg * base * mult
  ),
  0
)
"),1.213E10)</f>
        <v>12130000000</v>
      </c>
    </row>
    <row r="58">
      <c r="B58" s="24" t="s">
        <v>93</v>
      </c>
      <c r="C58" s="93">
        <f>C57/C63</f>
        <v>0.009743020331</v>
      </c>
    </row>
    <row r="59">
      <c r="B59" s="24" t="s">
        <v>94</v>
      </c>
      <c r="C59" s="93">
        <f>IFERROR(__xludf.DUMMYFUNCTION("((IFERROR(
  LET(
    x, UPPER(SUBSTITUTE(TRIM(Data!F26),CHAR(160),"""")),
    neg, IF(LEFT(x,1)=""("", -1, 1),
    numtext, REGEXEXTRACT(x,""[0-9.,]+""),
    base, VALUE(SUBSTITUTE(numtext,"","","""")),
    mult, IF(REGEXMATCH(x,""B""),1000000000, IF(REG"&amp;"EXMATCH(x,""M""),1000000, 1)),
    neg * base * mult
  ),
  0
))/C57)*(1-C60)"),0.022333635614179722)</f>
        <v>0.02233363561</v>
      </c>
    </row>
    <row r="60">
      <c r="B60" s="24" t="s">
        <v>95</v>
      </c>
      <c r="C60" s="93">
        <f>Data!D320</f>
        <v>0.1985</v>
      </c>
    </row>
    <row r="61" ht="3.75" customHeight="1">
      <c r="B61" s="21"/>
      <c r="C61" s="22"/>
    </row>
    <row r="62">
      <c r="B62" s="21"/>
      <c r="C62" s="22"/>
    </row>
    <row r="63">
      <c r="B63" s="24" t="s">
        <v>96</v>
      </c>
      <c r="C63" s="26">
        <f>C57+C49</f>
        <v>1244993809750</v>
      </c>
    </row>
    <row r="64" ht="3.75" customHeight="1">
      <c r="B64" s="21"/>
      <c r="C64" s="22"/>
    </row>
    <row r="65">
      <c r="B65" s="65"/>
      <c r="C65" s="22"/>
    </row>
    <row r="66">
      <c r="B66" s="126" t="s">
        <v>85</v>
      </c>
      <c r="C66" s="127">
        <f>(C50*C51)+(C58*C59)</f>
        <v>0.09542387386</v>
      </c>
    </row>
    <row r="68">
      <c r="B68" s="128" t="s">
        <v>97</v>
      </c>
      <c r="C68" s="15"/>
    </row>
    <row r="69" ht="3.75" customHeight="1">
      <c r="B69" s="129"/>
      <c r="C69" s="130"/>
      <c r="F69" s="76"/>
      <c r="G69" s="76"/>
    </row>
    <row r="70">
      <c r="B70" s="24"/>
      <c r="C70" s="22"/>
      <c r="F70" s="76"/>
      <c r="G70" s="76"/>
    </row>
    <row r="71">
      <c r="B71" s="24" t="s">
        <v>98</v>
      </c>
      <c r="C71" s="122">
        <v>0.02</v>
      </c>
      <c r="F71" s="76"/>
      <c r="G71" s="76"/>
    </row>
    <row r="72">
      <c r="B72" s="24" t="s">
        <v>99</v>
      </c>
      <c r="C72" s="26">
        <f>(K35*(1+C71))/(C66-C71)</f>
        <v>624300337685</v>
      </c>
      <c r="F72" s="76"/>
    </row>
    <row r="73">
      <c r="B73" s="24" t="s">
        <v>100</v>
      </c>
      <c r="C73" s="131">
        <f>C72/((1+C66)^4)</f>
        <v>433575529050</v>
      </c>
    </row>
    <row r="74">
      <c r="B74" s="132" t="s">
        <v>101</v>
      </c>
      <c r="C74" s="133">
        <f>SUM(H43,C73)</f>
        <v>453196681980</v>
      </c>
    </row>
    <row r="75">
      <c r="B75" s="39"/>
    </row>
    <row r="77">
      <c r="B77" s="128" t="s">
        <v>102</v>
      </c>
      <c r="C77" s="15"/>
    </row>
    <row r="78">
      <c r="B78" s="129" t="s">
        <v>101</v>
      </c>
      <c r="C78" s="134">
        <f>C74</f>
        <v>453196681980</v>
      </c>
    </row>
    <row r="79">
      <c r="B79" s="24" t="s">
        <v>103</v>
      </c>
      <c r="C79" s="26">
        <f>IFERROR(__xludf.DUMMYFUNCTION("IFERROR(
  LET(
    x, UPPER(SUBSTITUTE(TRIM(Data!F69),CHAR(160),"""")),
    neg, IF(LEFT(x,1)=""("", -1, 1),
    numtext, REGEXEXTRACT(x,""[0-9.,]+""),
    base, VALUE(SUBSTITUTE(numtext,"","","""")),
    mult, IF(REGEXMATCH(x,""B""),1000000000, IF(REGEX"&amp;"MATCH(x,""M""),1000000, 1)),
    neg * base * mult
  ),
  0
)
"),4.445E10)</f>
        <v>44450000000</v>
      </c>
    </row>
    <row r="80">
      <c r="B80" s="24" t="s">
        <v>92</v>
      </c>
      <c r="C80" s="26">
        <f>C57</f>
        <v>12130000000</v>
      </c>
    </row>
    <row r="81">
      <c r="B81" s="40" t="s">
        <v>86</v>
      </c>
      <c r="C81" s="99">
        <f>C78+C79-C80</f>
        <v>485516681980</v>
      </c>
    </row>
    <row r="82" ht="3.75" customHeight="1">
      <c r="B82" s="21"/>
      <c r="C82" s="22"/>
    </row>
    <row r="83">
      <c r="B83" s="21"/>
      <c r="C83" s="22"/>
    </row>
    <row r="84">
      <c r="B84" s="24" t="s">
        <v>104</v>
      </c>
      <c r="C84" s="26">
        <f>IFERROR(__xludf.DUMMYFUNCTION("IFERROR(
  LET(
    x, UPPER(SUBSTITUTE(TRIM(Data!F58),CHAR(160),"""")),
    neg, IF(LEFT(x,1)=""("", -1, 1),
    numtext, REGEXEXTRACT(x,""[0-9.,]+""),
    base, VALUE(SUBSTITUTE(numtext,"","","""")),
    mult, IF(REGEXMATCH(x,""B""),1000000000, IF(REGEX"&amp;"MATCH(x,""M""),1000000, 1)),
    neg * base * mult
  ),
  0
)
"),3.53E9)</f>
        <v>3530000000</v>
      </c>
    </row>
    <row r="85">
      <c r="B85" s="132" t="s">
        <v>102</v>
      </c>
      <c r="C85" s="135">
        <f>C81/C84</f>
        <v>137.5401365</v>
      </c>
    </row>
    <row r="86">
      <c r="D86" s="23" t="s">
        <v>105</v>
      </c>
    </row>
    <row r="89">
      <c r="B89" s="102" t="s">
        <v>106</v>
      </c>
      <c r="C89" s="15"/>
      <c r="D89" s="136" t="s">
        <v>98</v>
      </c>
      <c r="E89" s="137"/>
      <c r="F89" s="137"/>
      <c r="G89" s="137"/>
      <c r="H89" s="120"/>
    </row>
    <row r="90">
      <c r="B90" s="138" t="s">
        <v>107</v>
      </c>
      <c r="C90" s="139">
        <f>C85</f>
        <v>137.5401365</v>
      </c>
      <c r="D90" s="140">
        <f t="shared" ref="D90:E90" si="20">E90-0.5%</f>
        <v>0.01</v>
      </c>
      <c r="E90" s="141">
        <f t="shared" si="20"/>
        <v>0.015</v>
      </c>
      <c r="F90" s="141">
        <f>C71</f>
        <v>0.02</v>
      </c>
      <c r="G90" s="141">
        <f t="shared" ref="G90:H90" si="21">F90+0.5%</f>
        <v>0.025</v>
      </c>
      <c r="H90" s="142">
        <f t="shared" si="21"/>
        <v>0.03</v>
      </c>
    </row>
    <row r="91">
      <c r="B91" s="143"/>
      <c r="C91" s="93">
        <f t="shared" ref="C91:C93" si="22">C92-0.5%</f>
        <v>0.08042387386</v>
      </c>
      <c r="D91" s="144">
        <f>(((DCF!$K$35*(1+DCF!$C$71))/(C91-$D$90))/((1+C91)^4)+DCF!$H$43+DCF!$C$79-DCF!$C$80)/DCF!$C$84</f>
        <v>153.7194245</v>
      </c>
      <c r="E91" s="145">
        <f>(((DCF!$K$35*(1+DCF!$C$71))/(C91-$E$90))/((1+C91)^4)+DCF!$H$43+DCF!$C$79-DCF!$C$80)/DCF!$C$84</f>
        <v>164.3428566</v>
      </c>
      <c r="F91" s="145">
        <f>(((DCF!$K$35*(1+DCF!$C$71))/(C91-$F$90))/((1+C91)^4)+DCF!$H$43+DCF!$C$79-DCF!$C$80)/DCF!$C$84</f>
        <v>176.7244402</v>
      </c>
      <c r="G91" s="145">
        <f>(((DCF!$K$35*(1+DCF!$C$71))/(C91-$G$90))/((1+C91)^4)+DCF!$H$43+DCF!$C$79-DCF!$C$80)/DCF!$C$84</f>
        <v>191.340004</v>
      </c>
      <c r="H91" s="146">
        <f>(((DCF!$K$35*(1+DCF!$C$71))/(C91-$H$90))/((1+C91)^4)+DCF!$H$43+DCF!$C$79-DCF!$C$80)/DCF!$C$84</f>
        <v>208.8541082</v>
      </c>
    </row>
    <row r="92">
      <c r="B92" s="147"/>
      <c r="C92" s="93">
        <f t="shared" si="22"/>
        <v>0.08542387386</v>
      </c>
      <c r="D92" s="144">
        <f>(((DCF!$K$35*(1+DCF!$C$71))/(C92-$D$90))/((1+C92)^4)+DCF!$H$43+DCF!$C$79-DCF!$C$80)/DCF!$C$84</f>
        <v>142.1294504</v>
      </c>
      <c r="E92" s="145">
        <f>(((DCF!$K$35*(1+DCF!$C$71))/(C92-$E$90))/((1+C92)^4)+DCF!$H$43+DCF!$C$79-DCF!$C$80)/DCF!$C$84</f>
        <v>151.1757606</v>
      </c>
      <c r="F92" s="145">
        <f>(((DCF!$K$35*(1+DCF!$C$71))/(C92-$F$90))/((1+C92)^4)+DCF!$H$43+DCF!$C$79-DCF!$C$80)/DCF!$C$84</f>
        <v>161.604794</v>
      </c>
      <c r="G92" s="145">
        <f>(((DCF!$K$35*(1+DCF!$C$71))/(C92-$G$90))/((1+C92)^4)+DCF!$H$43+DCF!$C$79-DCF!$C$80)/DCF!$C$84</f>
        <v>173.7598063</v>
      </c>
      <c r="H92" s="146">
        <f>(((DCF!$K$35*(1+DCF!$C$71))/(C92-$H$90))/((1+C92)^4)+DCF!$H$43+DCF!$C$79-DCF!$C$80)/DCF!$C$84</f>
        <v>188.1079191</v>
      </c>
    </row>
    <row r="93">
      <c r="B93" s="147"/>
      <c r="C93" s="93">
        <f t="shared" si="22"/>
        <v>0.09042387386</v>
      </c>
      <c r="D93" s="144">
        <f>(((DCF!$K$35*(1+DCF!$C$71))/(C93-$D$90))/((1+C93)^4)+DCF!$H$43+DCF!$C$79-DCF!$C$80)/DCF!$C$84</f>
        <v>132.0313038</v>
      </c>
      <c r="E93" s="145">
        <f>(((DCF!$K$35*(1+DCF!$C$71))/(C93-$E$90))/((1+C93)^4)+DCF!$H$43+DCF!$C$79-DCF!$C$80)/DCF!$C$84</f>
        <v>139.8084896</v>
      </c>
      <c r="F93" s="145">
        <f>(((DCF!$K$35*(1+DCF!$C$71))/(C93-$F$90))/((1+C93)^4)+DCF!$H$43+DCF!$C$79-DCF!$C$80)/DCF!$C$84</f>
        <v>148.6900148</v>
      </c>
      <c r="G93" s="145">
        <f>(((DCF!$K$35*(1+DCF!$C$71))/(C93-$G$90))/((1+C93)^4)+DCF!$H$43+DCF!$C$79-DCF!$C$80)/DCF!$C$84</f>
        <v>158.9290758</v>
      </c>
      <c r="H93" s="146">
        <f>(((DCF!$K$35*(1+DCF!$C$71))/(C93-$H$90))/((1+C93)^4)+DCF!$H$43+DCF!$C$79-DCF!$C$80)/DCF!$C$84</f>
        <v>170.8626758</v>
      </c>
    </row>
    <row r="94">
      <c r="B94" s="147" t="s">
        <v>108</v>
      </c>
      <c r="C94" s="93">
        <f>C66</f>
        <v>0.09542387386</v>
      </c>
      <c r="D94" s="144">
        <f>(((DCF!$K$35*(1+DCF!$C$71))/(C94-$D$90))/((1+C94)^4)+DCF!$H$43+DCF!$C$79-DCF!$C$80)/DCF!$C$84</f>
        <v>123.1617288</v>
      </c>
      <c r="E94" s="145">
        <f>(((DCF!$K$35*(1+DCF!$C$71))/(C94-$E$90))/((1+C94)^4)+DCF!$H$43+DCF!$C$79-DCF!$C$80)/DCF!$C$84</f>
        <v>129.9039756</v>
      </c>
      <c r="F94" s="148">
        <f>(((DCF!$K$35*(1+DCF!$C$71))/(C94-$F$90))/((1+C94)^4)+DCF!$H$43+DCF!$C$79-DCF!$C$80)/DCF!$C$84</f>
        <v>137.5401365</v>
      </c>
      <c r="G94" s="145">
        <f>(((DCF!$K$35*(1+DCF!$C$71))/(C94-$G$90))/((1+C94)^4)+DCF!$H$43+DCF!$C$79-DCF!$C$80)/DCF!$C$84</f>
        <v>146.2606117</v>
      </c>
      <c r="H94" s="146">
        <f>(((DCF!$K$35*(1+DCF!$C$71))/(C94-$H$90))/((1+C94)^4)+DCF!$H$43+DCF!$C$79-DCF!$C$80)/DCF!$C$84</f>
        <v>156.3140063</v>
      </c>
    </row>
    <row r="95">
      <c r="B95" s="147"/>
      <c r="C95" s="93">
        <f t="shared" ref="C95:C97" si="23">C94+0.5%</f>
        <v>0.1004238739</v>
      </c>
      <c r="D95" s="144">
        <f>(((DCF!$K$35*(1+DCF!$C$71))/(C95-$D$90))/((1+C95)^4)+DCF!$H$43+DCF!$C$79-DCF!$C$80)/DCF!$C$84</f>
        <v>115.315735</v>
      </c>
      <c r="E95" s="145">
        <f>(((DCF!$K$35*(1+DCF!$C$71))/(C95-$E$90))/((1+C95)^4)+DCF!$H$43+DCF!$C$79-DCF!$C$80)/DCF!$C$84</f>
        <v>121.2041081</v>
      </c>
      <c r="F95" s="145">
        <f>(((DCF!$K$35*(1+DCF!$C$71))/(C95-$F$90))/((1+C95)^4)+DCF!$H$43+DCF!$C$79-DCF!$C$80)/DCF!$C$84</f>
        <v>127.8246485</v>
      </c>
      <c r="G95" s="145">
        <f>(((DCF!$K$35*(1+DCF!$C$71))/(C95-$G$90))/((1+C95)^4)+DCF!$H$43+DCF!$C$79-DCF!$C$80)/DCF!$C$84</f>
        <v>135.3229666</v>
      </c>
      <c r="H95" s="146">
        <f>(((DCF!$K$35*(1+DCF!$C$71))/(C95-$H$90))/((1+C95)^4)+DCF!$H$43+DCF!$C$79-DCF!$C$80)/DCF!$C$84</f>
        <v>143.8860257</v>
      </c>
    </row>
    <row r="96">
      <c r="B96" s="147"/>
      <c r="C96" s="93">
        <f t="shared" si="23"/>
        <v>0.1054238739</v>
      </c>
      <c r="D96" s="144">
        <f>(((DCF!$K$35*(1+DCF!$C$71))/(C96-$D$90))/((1+C96)^4)+DCF!$H$43+DCF!$C$79-DCF!$C$80)/DCF!$C$84</f>
        <v>108.3313319</v>
      </c>
      <c r="E96" s="145">
        <f>(((DCF!$K$35*(1+DCF!$C$71))/(C96-$E$90))/((1+C96)^4)+DCF!$H$43+DCF!$C$79-DCF!$C$80)/DCF!$C$84</f>
        <v>113.5079031</v>
      </c>
      <c r="F96" s="145">
        <f>(((DCF!$K$35*(1+DCF!$C$71))/(C96-$F$90))/((1+C96)^4)+DCF!$H$43+DCF!$C$79-DCF!$C$80)/DCF!$C$84</f>
        <v>119.2904608</v>
      </c>
      <c r="G96" s="145">
        <f>(((DCF!$K$35*(1+DCF!$C$71))/(C96-$G$90))/((1+C96)^4)+DCF!$H$43+DCF!$C$79-DCF!$C$80)/DCF!$C$84</f>
        <v>125.7920285</v>
      </c>
      <c r="H96" s="146">
        <f>(((DCF!$K$35*(1+DCF!$C$71))/(C96-$H$90))/((1+C96)^4)+DCF!$H$43+DCF!$C$79-DCF!$C$80)/DCF!$C$84</f>
        <v>133.1556003</v>
      </c>
    </row>
    <row r="97">
      <c r="B97" s="149"/>
      <c r="C97" s="150">
        <f t="shared" si="23"/>
        <v>0.1104238739</v>
      </c>
      <c r="D97" s="151">
        <f>(((DCF!$K$35*(1+DCF!$C$71))/(C97-$D$90))/((1+C97)^4)+DCF!$H$43+DCF!$C$79-DCF!$C$80)/DCF!$C$84</f>
        <v>102.0788225</v>
      </c>
      <c r="E97" s="152">
        <f>(((DCF!$K$35*(1+DCF!$C$71))/(C97-$E$90))/((1+C97)^4)+DCF!$H$43+DCF!$C$79-DCF!$C$80)/DCF!$C$84</f>
        <v>106.6565352</v>
      </c>
      <c r="F97" s="152">
        <f>(((DCF!$K$35*(1+DCF!$C$71))/(C97-$F$90))/((1+C97)^4)+DCF!$H$43+DCF!$C$79-DCF!$C$80)/DCF!$C$84</f>
        <v>111.7404983</v>
      </c>
      <c r="G97" s="152">
        <f>(((DCF!$K$35*(1+DCF!$C$71))/(C97-$G$90))/((1+C97)^4)+DCF!$H$43+DCF!$C$79-DCF!$C$80)/DCF!$C$84</f>
        <v>117.4196068</v>
      </c>
      <c r="H97" s="153">
        <f>(((DCF!$K$35*(1+DCF!$C$71))/(C97-$H$90))/((1+C97)^4)+DCF!$H$43+DCF!$C$79-DCF!$C$80)/DCF!$C$84</f>
        <v>123.8048625</v>
      </c>
    </row>
  </sheetData>
  <mergeCells count="10">
    <mergeCell ref="G2:H2"/>
    <mergeCell ref="B4:B5"/>
    <mergeCell ref="C4:G4"/>
    <mergeCell ref="H4:K4"/>
    <mergeCell ref="B46:C46"/>
    <mergeCell ref="B68:C68"/>
    <mergeCell ref="B77:C77"/>
    <mergeCell ref="F72:G72"/>
    <mergeCell ref="D89:H89"/>
    <mergeCell ref="B89:C89"/>
  </mergeCells>
  <hyperlinks>
    <hyperlink r:id="rId4" ref="G2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3.75"/>
    <col customWidth="1" min="3" max="7" width="12.63"/>
    <col customWidth="1" min="8" max="8" width="25.13"/>
    <col customWidth="1" min="9" max="9" width="29.0"/>
    <col customWidth="1" min="10" max="12" width="25.13"/>
  </cols>
  <sheetData>
    <row r="1" ht="61.5" customHeight="1">
      <c r="D1" s="154"/>
      <c r="I1" s="23" t="s">
        <v>109</v>
      </c>
    </row>
    <row r="2">
      <c r="I2" s="23" t="s">
        <v>110</v>
      </c>
    </row>
    <row r="3" ht="15.75" customHeight="1">
      <c r="I3" s="23" t="s">
        <v>111</v>
      </c>
    </row>
    <row r="4" ht="15.75" customHeight="1">
      <c r="A4" s="23" t="str">
        <f>IFERROR(__xludf.DUMMYFUNCTION("IMPORTHTML(CONCAT(CONCAT(""https://www.marketwatch.com/investing/stock/"",'Income Statement'!D1),""/financials?mod=mw_quote_tab""),""table"",4)
"),"Item
Item")</f>
        <v>Item
Item</v>
      </c>
      <c r="B4" s="75">
        <f>IFERROR(__xludf.DUMMYFUNCTION("""COMPUTED_VALUE"""),2021.0)</f>
        <v>2021</v>
      </c>
      <c r="C4" s="75">
        <f>IFERROR(__xludf.DUMMYFUNCTION("""COMPUTED_VALUE"""),2022.0)</f>
        <v>2022</v>
      </c>
      <c r="D4" s="75">
        <f>IFERROR(__xludf.DUMMYFUNCTION("""COMPUTED_VALUE"""),2023.0)</f>
        <v>2023</v>
      </c>
      <c r="E4" s="75">
        <f>IFERROR(__xludf.DUMMYFUNCTION("""COMPUTED_VALUE"""),2024.0)</f>
        <v>2024</v>
      </c>
      <c r="F4" s="75">
        <f>IFERROR(__xludf.DUMMYFUNCTION("""COMPUTED_VALUE"""),2025.0)</f>
        <v>2025</v>
      </c>
      <c r="G4" s="75" t="str">
        <f>IFERROR(__xludf.DUMMYFUNCTION("""COMPUTED_VALUE"""),"5-year trend")</f>
        <v>5-year trend</v>
      </c>
      <c r="I4" s="23" t="s">
        <v>112</v>
      </c>
    </row>
    <row r="5" ht="15.75" customHeight="1">
      <c r="A5" s="155" t="str">
        <f>IFERROR(__xludf.DUMMYFUNCTION("""COMPUTED_VALUE"""),"Sales/Revenue
Sales/Revenue")</f>
        <v>Sales/Revenue
Sales/Revenue</v>
      </c>
      <c r="B5" s="75" t="str">
        <f>IFERROR(__xludf.DUMMYFUNCTION("""COMPUTED_VALUE"""),"53.82B")</f>
        <v>53.82B</v>
      </c>
      <c r="C5" s="75" t="str">
        <f>IFERROR(__xludf.DUMMYFUNCTION("""COMPUTED_VALUE"""),"81.46B")</f>
        <v>81.46B</v>
      </c>
      <c r="D5" s="75" t="str">
        <f>IFERROR(__xludf.DUMMYFUNCTION("""COMPUTED_VALUE"""),"96.77B")</f>
        <v>96.77B</v>
      </c>
      <c r="E5" s="75" t="str">
        <f>IFERROR(__xludf.DUMMYFUNCTION("""COMPUTED_VALUE"""),"97.69B")</f>
        <v>97.69B</v>
      </c>
      <c r="F5" s="75" t="str">
        <f>IFERROR(__xludf.DUMMYFUNCTION("""COMPUTED_VALUE"""),"94.83B")</f>
        <v>94.83B</v>
      </c>
      <c r="G5" s="75"/>
      <c r="I5" s="23" t="s">
        <v>113</v>
      </c>
    </row>
    <row r="6" ht="15.75" customHeight="1">
      <c r="A6" s="155" t="str">
        <f>IFERROR(__xludf.DUMMYFUNCTION("""COMPUTED_VALUE"""),"Sales Growth
Sales Growth")</f>
        <v>Sales Growth
Sales Growth</v>
      </c>
      <c r="B6" s="75" t="str">
        <f>IFERROR(__xludf.DUMMYFUNCTION("""COMPUTED_VALUE"""),"-")</f>
        <v>-</v>
      </c>
      <c r="C6" s="74">
        <f>IFERROR(__xludf.DUMMYFUNCTION("""COMPUTED_VALUE"""),0.5135)</f>
        <v>0.5135</v>
      </c>
      <c r="D6" s="74">
        <f>IFERROR(__xludf.DUMMYFUNCTION("""COMPUTED_VALUE"""),0.188)</f>
        <v>0.188</v>
      </c>
      <c r="E6" s="74">
        <f>IFERROR(__xludf.DUMMYFUNCTION("""COMPUTED_VALUE"""),0.0095)</f>
        <v>0.0095</v>
      </c>
      <c r="F6" s="74">
        <f>IFERROR(__xludf.DUMMYFUNCTION("""COMPUTED_VALUE"""),-0.0293)</f>
        <v>-0.0293</v>
      </c>
      <c r="G6" s="75"/>
    </row>
    <row r="7">
      <c r="A7" s="155" t="str">
        <f>IFERROR(__xludf.DUMMYFUNCTION("""COMPUTED_VALUE"""),"Cost of Goods Sold (COGS) incl. D&amp;A
Cost of Goods Sold (COGS) incl. D&amp;A")</f>
        <v>Cost of Goods Sold (COGS) incl. D&amp;A
Cost of Goods Sold (COGS) incl. D&amp;A</v>
      </c>
      <c r="B7" s="75" t="str">
        <f>IFERROR(__xludf.DUMMYFUNCTION("""COMPUTED_VALUE"""),"40.22B")</f>
        <v>40.22B</v>
      </c>
      <c r="C7" s="75" t="str">
        <f>IFERROR(__xludf.DUMMYFUNCTION("""COMPUTED_VALUE"""),"60.61B")</f>
        <v>60.61B</v>
      </c>
      <c r="D7" s="75" t="str">
        <f>IFERROR(__xludf.DUMMYFUNCTION("""COMPUTED_VALUE"""),"79.11B")</f>
        <v>79.11B</v>
      </c>
      <c r="E7" s="75" t="str">
        <f>IFERROR(__xludf.DUMMYFUNCTION("""COMPUTED_VALUE"""),"80.24B")</f>
        <v>80.24B</v>
      </c>
      <c r="F7" s="75" t="str">
        <f>IFERROR(__xludf.DUMMYFUNCTION("""COMPUTED_VALUE"""),"77.73B")</f>
        <v>77.73B</v>
      </c>
      <c r="G7" s="75"/>
    </row>
    <row r="8" ht="37.5" customHeight="1">
      <c r="A8" s="156" t="str">
        <f>IFERROR(__xludf.DUMMYFUNCTION("""COMPUTED_VALUE"""),"COGS Growth
COGS Growth")</f>
        <v>COGS Growth
COGS Growth</v>
      </c>
      <c r="B8" s="75" t="str">
        <f>IFERROR(__xludf.DUMMYFUNCTION("""COMPUTED_VALUE"""),"-")</f>
        <v>-</v>
      </c>
      <c r="C8" s="74">
        <f>IFERROR(__xludf.DUMMYFUNCTION("""COMPUTED_VALUE"""),0.507)</f>
        <v>0.507</v>
      </c>
      <c r="D8" s="74">
        <f>IFERROR(__xludf.DUMMYFUNCTION("""COMPUTED_VALUE"""),0.3053)</f>
        <v>0.3053</v>
      </c>
      <c r="E8" s="74">
        <f>IFERROR(__xludf.DUMMYFUNCTION("""COMPUTED_VALUE"""),0.0142)</f>
        <v>0.0142</v>
      </c>
      <c r="F8" s="74">
        <f>IFERROR(__xludf.DUMMYFUNCTION("""COMPUTED_VALUE"""),-0.0312)</f>
        <v>-0.0312</v>
      </c>
      <c r="G8" s="75"/>
    </row>
    <row r="9">
      <c r="A9" s="156" t="str">
        <f>IFERROR(__xludf.DUMMYFUNCTION("""COMPUTED_VALUE"""),"COGS excluding D&amp;A
COGS excluding D&amp;A")</f>
        <v>COGS excluding D&amp;A
COGS excluding D&amp;A</v>
      </c>
      <c r="B9" s="75" t="str">
        <f>IFERROR(__xludf.DUMMYFUNCTION("""COMPUTED_VALUE"""),"37.31B")</f>
        <v>37.31B</v>
      </c>
      <c r="C9" s="75" t="str">
        <f>IFERROR(__xludf.DUMMYFUNCTION("""COMPUTED_VALUE"""),"57.07B")</f>
        <v>57.07B</v>
      </c>
      <c r="D9" s="75" t="str">
        <f>IFERROR(__xludf.DUMMYFUNCTION("""COMPUTED_VALUE"""),"74.45B")</f>
        <v>74.45B</v>
      </c>
      <c r="E9" s="75" t="str">
        <f>IFERROR(__xludf.DUMMYFUNCTION("""COMPUTED_VALUE"""),"74.87B")</f>
        <v>74.87B</v>
      </c>
      <c r="F9" s="75" t="str">
        <f>IFERROR(__xludf.DUMMYFUNCTION("""COMPUTED_VALUE"""),"71.59B")</f>
        <v>71.59B</v>
      </c>
      <c r="G9" s="75"/>
    </row>
    <row r="10">
      <c r="A10" s="155" t="str">
        <f>IFERROR(__xludf.DUMMYFUNCTION("""COMPUTED_VALUE"""),"Depreciation &amp; Amortization Expense
Depreciation &amp; Amortization Expense")</f>
        <v>Depreciation &amp; Amortization Expense
Depreciation &amp; Amortization Expense</v>
      </c>
      <c r="B10" s="75" t="str">
        <f>IFERROR(__xludf.DUMMYFUNCTION("""COMPUTED_VALUE"""),"2.91B")</f>
        <v>2.91B</v>
      </c>
      <c r="C10" s="75" t="str">
        <f>IFERROR(__xludf.DUMMYFUNCTION("""COMPUTED_VALUE"""),"3.54B")</f>
        <v>3.54B</v>
      </c>
      <c r="D10" s="75" t="str">
        <f>IFERROR(__xludf.DUMMYFUNCTION("""COMPUTED_VALUE"""),"4.67B")</f>
        <v>4.67B</v>
      </c>
      <c r="E10" s="75" t="str">
        <f>IFERROR(__xludf.DUMMYFUNCTION("""COMPUTED_VALUE"""),"5.37B")</f>
        <v>5.37B</v>
      </c>
      <c r="F10" s="75" t="str">
        <f>IFERROR(__xludf.DUMMYFUNCTION("""COMPUTED_VALUE"""),"6.15B")</f>
        <v>6.15B</v>
      </c>
      <c r="G10" s="75"/>
    </row>
    <row r="11">
      <c r="A11" s="155" t="str">
        <f>IFERROR(__xludf.DUMMYFUNCTION("""COMPUTED_VALUE"""),"Depreciation
Depreciation")</f>
        <v>Depreciation
Depreciation</v>
      </c>
      <c r="B11" s="75" t="str">
        <f>IFERROR(__xludf.DUMMYFUNCTION("""COMPUTED_VALUE"""),"1.91B")</f>
        <v>1.91B</v>
      </c>
      <c r="C11" s="75" t="str">
        <f>IFERROR(__xludf.DUMMYFUNCTION("""COMPUTED_VALUE"""),"2.66B")</f>
        <v>2.66B</v>
      </c>
      <c r="D11" s="75" t="str">
        <f>IFERROR(__xludf.DUMMYFUNCTION("""COMPUTED_VALUE"""),"3.57B")</f>
        <v>3.57B</v>
      </c>
      <c r="E11" s="75" t="str">
        <f>IFERROR(__xludf.DUMMYFUNCTION("""COMPUTED_VALUE"""),"4.12B")</f>
        <v>4.12B</v>
      </c>
      <c r="F11" s="75" t="str">
        <f>IFERROR(__xludf.DUMMYFUNCTION("""COMPUTED_VALUE"""),"5.03B")</f>
        <v>5.03B</v>
      </c>
      <c r="G11" s="75"/>
    </row>
    <row r="12">
      <c r="A12" s="155" t="str">
        <f>IFERROR(__xludf.DUMMYFUNCTION("""COMPUTED_VALUE"""),"Amortization of Intangibles
Amortization of Intangibles")</f>
        <v>Amortization of Intangibles
Amortization of Intangibles</v>
      </c>
      <c r="B12" s="75" t="str">
        <f>IFERROR(__xludf.DUMMYFUNCTION("""COMPUTED_VALUE"""),"1B")</f>
        <v>1B</v>
      </c>
      <c r="C12" s="75" t="str">
        <f>IFERROR(__xludf.DUMMYFUNCTION("""COMPUTED_VALUE"""),"888M")</f>
        <v>888M</v>
      </c>
      <c r="D12" s="75" t="str">
        <f>IFERROR(__xludf.DUMMYFUNCTION("""COMPUTED_VALUE"""),"1.1B")</f>
        <v>1.1B</v>
      </c>
      <c r="E12" s="75" t="str">
        <f>IFERROR(__xludf.DUMMYFUNCTION("""COMPUTED_VALUE"""),"1.25B")</f>
        <v>1.25B</v>
      </c>
      <c r="F12" s="75" t="str">
        <f>IFERROR(__xludf.DUMMYFUNCTION("""COMPUTED_VALUE"""),"1.12B")</f>
        <v>1.12B</v>
      </c>
      <c r="G12" s="75"/>
    </row>
    <row r="13">
      <c r="A13" s="155" t="str">
        <f>IFERROR(__xludf.DUMMYFUNCTION("""COMPUTED_VALUE"""),"Gross Income
Gross Income")</f>
        <v>Gross Income
Gross Income</v>
      </c>
      <c r="B13" s="75" t="str">
        <f>IFERROR(__xludf.DUMMYFUNCTION("""COMPUTED_VALUE"""),"13.61B")</f>
        <v>13.61B</v>
      </c>
      <c r="C13" s="75" t="str">
        <f>IFERROR(__xludf.DUMMYFUNCTION("""COMPUTED_VALUE"""),"20.85B")</f>
        <v>20.85B</v>
      </c>
      <c r="D13" s="75" t="str">
        <f>IFERROR(__xludf.DUMMYFUNCTION("""COMPUTED_VALUE"""),"17.66B")</f>
        <v>17.66B</v>
      </c>
      <c r="E13" s="75" t="str">
        <f>IFERROR(__xludf.DUMMYFUNCTION("""COMPUTED_VALUE"""),"17.45B")</f>
        <v>17.45B</v>
      </c>
      <c r="F13" s="75" t="str">
        <f>IFERROR(__xludf.DUMMYFUNCTION("""COMPUTED_VALUE"""),"17.09B")</f>
        <v>17.09B</v>
      </c>
      <c r="G13" s="75"/>
    </row>
    <row r="14">
      <c r="A14" s="155" t="str">
        <f>IFERROR(__xludf.DUMMYFUNCTION("""COMPUTED_VALUE"""),"Gross Income Growth
Gross Income Growth")</f>
        <v>Gross Income Growth
Gross Income Growth</v>
      </c>
      <c r="B14" s="75" t="str">
        <f>IFERROR(__xludf.DUMMYFUNCTION("""COMPUTED_VALUE"""),"-")</f>
        <v>-</v>
      </c>
      <c r="C14" s="74">
        <f>IFERROR(__xludf.DUMMYFUNCTION("""COMPUTED_VALUE"""),0.5326)</f>
        <v>0.5326</v>
      </c>
      <c r="D14" s="74">
        <f>IFERROR(__xludf.DUMMYFUNCTION("""COMPUTED_VALUE"""),-0.1531)</f>
        <v>-0.1531</v>
      </c>
      <c r="E14" s="74">
        <f>IFERROR(__xludf.DUMMYFUNCTION("""COMPUTED_VALUE"""),-0.0119)</f>
        <v>-0.0119</v>
      </c>
      <c r="F14" s="74">
        <f>IFERROR(__xludf.DUMMYFUNCTION("""COMPUTED_VALUE"""),-0.0204)</f>
        <v>-0.0204</v>
      </c>
      <c r="G14" s="75"/>
    </row>
    <row r="15">
      <c r="A15" s="75" t="str">
        <f>IFERROR(__xludf.DUMMYFUNCTION("""COMPUTED_VALUE"""),"Gross Profit Margin
Gross Profit Margin")</f>
        <v>Gross Profit Margin
Gross Profit Margin</v>
      </c>
      <c r="B15" s="75" t="str">
        <f>IFERROR(__xludf.DUMMYFUNCTION("""COMPUTED_VALUE"""),"-")</f>
        <v>-</v>
      </c>
      <c r="C15" s="75" t="str">
        <f>IFERROR(__xludf.DUMMYFUNCTION("""COMPUTED_VALUE"""),"-")</f>
        <v>-</v>
      </c>
      <c r="D15" s="75" t="str">
        <f>IFERROR(__xludf.DUMMYFUNCTION("""COMPUTED_VALUE"""),"-")</f>
        <v>-</v>
      </c>
      <c r="E15" s="75" t="str">
        <f>IFERROR(__xludf.DUMMYFUNCTION("""COMPUTED_VALUE"""),"-")</f>
        <v>-</v>
      </c>
      <c r="F15" s="74">
        <f>IFERROR(__xludf.DUMMYFUNCTION("""COMPUTED_VALUE"""),0.1803)</f>
        <v>0.1803</v>
      </c>
      <c r="G15" s="75"/>
    </row>
    <row r="16">
      <c r="A16" s="155" t="str">
        <f>IFERROR(__xludf.DUMMYFUNCTION("""COMPUTED_VALUE"""),"SG&amp;A Expense
SG&amp;A Expense")</f>
        <v>SG&amp;A Expense
SG&amp;A Expense</v>
      </c>
      <c r="B16" s="75" t="str">
        <f>IFERROR(__xludf.DUMMYFUNCTION("""COMPUTED_VALUE"""),"7.11B")</f>
        <v>7.11B</v>
      </c>
      <c r="C16" s="75" t="str">
        <f>IFERROR(__xludf.DUMMYFUNCTION("""COMPUTED_VALUE"""),"7.02B")</f>
        <v>7.02B</v>
      </c>
      <c r="D16" s="75" t="str">
        <f>IFERROR(__xludf.DUMMYFUNCTION("""COMPUTED_VALUE"""),"8.77B")</f>
        <v>8.77B</v>
      </c>
      <c r="E16" s="75" t="str">
        <f>IFERROR(__xludf.DUMMYFUNCTION("""COMPUTED_VALUE"""),"9.69B")</f>
        <v>9.69B</v>
      </c>
      <c r="F16" s="75" t="str">
        <f>IFERROR(__xludf.DUMMYFUNCTION("""COMPUTED_VALUE"""),"12.25B")</f>
        <v>12.25B</v>
      </c>
      <c r="G16" s="75"/>
    </row>
    <row r="17">
      <c r="A17" s="155" t="str">
        <f>IFERROR(__xludf.DUMMYFUNCTION("""COMPUTED_VALUE"""),"SGA Growth
SGA Growth")</f>
        <v>SGA Growth
SGA Growth</v>
      </c>
      <c r="B17" s="75" t="str">
        <f>IFERROR(__xludf.DUMMYFUNCTION("""COMPUTED_VALUE"""),"-")</f>
        <v>-</v>
      </c>
      <c r="C17" s="74">
        <f>IFERROR(__xludf.DUMMYFUNCTION("""COMPUTED_VALUE"""),-0.0125)</f>
        <v>-0.0125</v>
      </c>
      <c r="D17" s="74">
        <f>IFERROR(__xludf.DUMMYFUNCTION("""COMPUTED_VALUE"""),0.249)</f>
        <v>0.249</v>
      </c>
      <c r="E17" s="74">
        <f>IFERROR(__xludf.DUMMYFUNCTION("""COMPUTED_VALUE"""),0.105)</f>
        <v>0.105</v>
      </c>
      <c r="F17" s="74">
        <f>IFERROR(__xludf.DUMMYFUNCTION("""COMPUTED_VALUE"""),0.2637)</f>
        <v>0.2637</v>
      </c>
      <c r="G17" s="75"/>
    </row>
    <row r="18">
      <c r="A18" s="155" t="str">
        <f>IFERROR(__xludf.DUMMYFUNCTION("""COMPUTED_VALUE"""),"Research &amp; Development
Research &amp; Development")</f>
        <v>Research &amp; Development
Research &amp; Development</v>
      </c>
      <c r="B18" s="75" t="str">
        <f>IFERROR(__xludf.DUMMYFUNCTION("""COMPUTED_VALUE"""),"2.59B")</f>
        <v>2.59B</v>
      </c>
      <c r="C18" s="75" t="str">
        <f>IFERROR(__xludf.DUMMYFUNCTION("""COMPUTED_VALUE"""),"3.08B")</f>
        <v>3.08B</v>
      </c>
      <c r="D18" s="75" t="str">
        <f>IFERROR(__xludf.DUMMYFUNCTION("""COMPUTED_VALUE"""),"3.97B")</f>
        <v>3.97B</v>
      </c>
      <c r="E18" s="75" t="str">
        <f>IFERROR(__xludf.DUMMYFUNCTION("""COMPUTED_VALUE"""),"4.54B")</f>
        <v>4.54B</v>
      </c>
      <c r="F18" s="75" t="str">
        <f>IFERROR(__xludf.DUMMYFUNCTION("""COMPUTED_VALUE"""),"6.41B")</f>
        <v>6.41B</v>
      </c>
      <c r="G18" s="75"/>
    </row>
    <row r="19">
      <c r="A19" s="155" t="str">
        <f>IFERROR(__xludf.DUMMYFUNCTION("""COMPUTED_VALUE"""),"Other SG&amp;A
Other SG&amp;A")</f>
        <v>Other SG&amp;A
Other SG&amp;A</v>
      </c>
      <c r="B19" s="75" t="str">
        <f>IFERROR(__xludf.DUMMYFUNCTION("""COMPUTED_VALUE"""),"4.52B")</f>
        <v>4.52B</v>
      </c>
      <c r="C19" s="75" t="str">
        <f>IFERROR(__xludf.DUMMYFUNCTION("""COMPUTED_VALUE"""),"3.95B")</f>
        <v>3.95B</v>
      </c>
      <c r="D19" s="75" t="str">
        <f>IFERROR(__xludf.DUMMYFUNCTION("""COMPUTED_VALUE"""),"4.8B")</f>
        <v>4.8B</v>
      </c>
      <c r="E19" s="75" t="str">
        <f>IFERROR(__xludf.DUMMYFUNCTION("""COMPUTED_VALUE"""),"5.15B")</f>
        <v>5.15B</v>
      </c>
      <c r="F19" s="75" t="str">
        <f>IFERROR(__xludf.DUMMYFUNCTION("""COMPUTED_VALUE"""),"5.83B")</f>
        <v>5.83B</v>
      </c>
      <c r="G19" s="75"/>
    </row>
    <row r="20">
      <c r="A20" s="155" t="str">
        <f>IFERROR(__xludf.DUMMYFUNCTION("""COMPUTED_VALUE"""),"Other Operating Expense
Other Operating Expense")</f>
        <v>Other Operating Expense
Other Operating Expense</v>
      </c>
      <c r="B20" s="75" t="str">
        <f>IFERROR(__xludf.DUMMYFUNCTION("""COMPUTED_VALUE"""),"-")</f>
        <v>-</v>
      </c>
      <c r="C20" s="75" t="str">
        <f>IFERROR(__xludf.DUMMYFUNCTION("""COMPUTED_VALUE"""),"-")</f>
        <v>-</v>
      </c>
      <c r="D20" s="75" t="str">
        <f>IFERROR(__xludf.DUMMYFUNCTION("""COMPUTED_VALUE"""),"-")</f>
        <v>-</v>
      </c>
      <c r="E20" s="75" t="str">
        <f>IFERROR(__xludf.DUMMYFUNCTION("""COMPUTED_VALUE"""),"-")</f>
        <v>-</v>
      </c>
      <c r="F20" s="75" t="str">
        <f>IFERROR(__xludf.DUMMYFUNCTION("""COMPUTED_VALUE"""),"-")</f>
        <v>-</v>
      </c>
      <c r="G20" s="75"/>
    </row>
    <row r="21">
      <c r="A21" s="155" t="str">
        <f>IFERROR(__xludf.DUMMYFUNCTION("""COMPUTED_VALUE"""),"Unusual Expense
Unusual Expense")</f>
        <v>Unusual Expense
Unusual Expense</v>
      </c>
      <c r="B21" s="75" t="str">
        <f>IFERROR(__xludf.DUMMYFUNCTION("""COMPUTED_VALUE"""),"(40M)")</f>
        <v>(40M)</v>
      </c>
      <c r="C21" s="75" t="str">
        <f>IFERROR(__xludf.DUMMYFUNCTION("""COMPUTED_VALUE"""),"150M")</f>
        <v>150M</v>
      </c>
      <c r="D21" s="75" t="str">
        <f>IFERROR(__xludf.DUMMYFUNCTION("""COMPUTED_VALUE"""),"4M")</f>
        <v>4M</v>
      </c>
      <c r="E21" s="75" t="str">
        <f>IFERROR(__xludf.DUMMYFUNCTION("""COMPUTED_VALUE"""),"670M")</f>
        <v>670M</v>
      </c>
      <c r="F21" s="75" t="str">
        <f>IFERROR(__xludf.DUMMYFUNCTION("""COMPUTED_VALUE"""),"562M")</f>
        <v>562M</v>
      </c>
      <c r="G21" s="75"/>
    </row>
    <row r="22">
      <c r="A22" s="155" t="str">
        <f>IFERROR(__xludf.DUMMYFUNCTION("""COMPUTED_VALUE"""),"EBIT after Unusual Expense
EBIT after Unusual Expense")</f>
        <v>EBIT after Unusual Expense
EBIT after Unusual Expense</v>
      </c>
      <c r="B22" s="75" t="str">
        <f>IFERROR(__xludf.DUMMYFUNCTION("""COMPUTED_VALUE"""),"6.54B")</f>
        <v>6.54B</v>
      </c>
      <c r="C22" s="75" t="str">
        <f>IFERROR(__xludf.DUMMYFUNCTION("""COMPUTED_VALUE"""),"13.68B")</f>
        <v>13.68B</v>
      </c>
      <c r="D22" s="75" t="str">
        <f>IFERROR(__xludf.DUMMYFUNCTION("""COMPUTED_VALUE"""),"8.89B")</f>
        <v>8.89B</v>
      </c>
      <c r="E22" s="75" t="str">
        <f>IFERROR(__xludf.DUMMYFUNCTION("""COMPUTED_VALUE"""),"7.09B")</f>
        <v>7.09B</v>
      </c>
      <c r="F22" s="75" t="str">
        <f>IFERROR(__xludf.DUMMYFUNCTION("""COMPUTED_VALUE"""),"4.29B")</f>
        <v>4.29B</v>
      </c>
      <c r="G22" s="75"/>
    </row>
    <row r="23">
      <c r="A23" s="75" t="str">
        <f>IFERROR(__xludf.DUMMYFUNCTION("""COMPUTED_VALUE"""),"Non Operating Income/Expense
Non Operating Income/Expense")</f>
        <v>Non Operating Income/Expense
Non Operating Income/Expense</v>
      </c>
      <c r="B23" s="75" t="str">
        <f>IFERROR(__xludf.DUMMYFUNCTION("""COMPUTED_VALUE"""),"122M")</f>
        <v>122M</v>
      </c>
      <c r="C23" s="75" t="str">
        <f>IFERROR(__xludf.DUMMYFUNCTION("""COMPUTED_VALUE"""),"(69M)")</f>
        <v>(69M)</v>
      </c>
      <c r="D23" s="75" t="str">
        <f>IFERROR(__xludf.DUMMYFUNCTION("""COMPUTED_VALUE"""),"176M")</f>
        <v>176M</v>
      </c>
      <c r="E23" s="75" t="str">
        <f>IFERROR(__xludf.DUMMYFUNCTION("""COMPUTED_VALUE"""),"681M")</f>
        <v>681M</v>
      </c>
      <c r="F23" s="75" t="str">
        <f>IFERROR(__xludf.DUMMYFUNCTION("""COMPUTED_VALUE"""),"(351M)")</f>
        <v>(351M)</v>
      </c>
      <c r="G23" s="75"/>
    </row>
    <row r="24">
      <c r="A24" s="75" t="str">
        <f>IFERROR(__xludf.DUMMYFUNCTION("""COMPUTED_VALUE"""),"Non-Operating Interest Income
Non-Operating Interest Income")</f>
        <v>Non-Operating Interest Income
Non-Operating Interest Income</v>
      </c>
      <c r="B24" s="75" t="str">
        <f>IFERROR(__xludf.DUMMYFUNCTION("""COMPUTED_VALUE"""),"56M")</f>
        <v>56M</v>
      </c>
      <c r="C24" s="75" t="str">
        <f>IFERROR(__xludf.DUMMYFUNCTION("""COMPUTED_VALUE"""),"297M")</f>
        <v>297M</v>
      </c>
      <c r="D24" s="75" t="str">
        <f>IFERROR(__xludf.DUMMYFUNCTION("""COMPUTED_VALUE"""),"1.07B")</f>
        <v>1.07B</v>
      </c>
      <c r="E24" s="75" t="str">
        <f>IFERROR(__xludf.DUMMYFUNCTION("""COMPUTED_VALUE"""),"1.57B")</f>
        <v>1.57B</v>
      </c>
      <c r="F24" s="75" t="str">
        <f>IFERROR(__xludf.DUMMYFUNCTION("""COMPUTED_VALUE"""),"1.68B")</f>
        <v>1.68B</v>
      </c>
      <c r="G24" s="75"/>
    </row>
    <row r="25">
      <c r="A25" s="75" t="str">
        <f>IFERROR(__xludf.DUMMYFUNCTION("""COMPUTED_VALUE"""),"Equity in Affiliates (Pretax)
Equity in Affiliates (Pretax)")</f>
        <v>Equity in Affiliates (Pretax)
Equity in Affiliates (Pretax)</v>
      </c>
      <c r="B25" s="75" t="str">
        <f>IFERROR(__xludf.DUMMYFUNCTION("""COMPUTED_VALUE"""),"-")</f>
        <v>-</v>
      </c>
      <c r="C25" s="75" t="str">
        <f>IFERROR(__xludf.DUMMYFUNCTION("""COMPUTED_VALUE"""),"-")</f>
        <v>-</v>
      </c>
      <c r="D25" s="75" t="str">
        <f>IFERROR(__xludf.DUMMYFUNCTION("""COMPUTED_VALUE"""),"-")</f>
        <v>-</v>
      </c>
      <c r="E25" s="75" t="str">
        <f>IFERROR(__xludf.DUMMYFUNCTION("""COMPUTED_VALUE"""),"-")</f>
        <v>-</v>
      </c>
      <c r="F25" s="75" t="str">
        <f>IFERROR(__xludf.DUMMYFUNCTION("""COMPUTED_VALUE"""),"-")</f>
        <v>-</v>
      </c>
      <c r="G25" s="75"/>
    </row>
    <row r="26">
      <c r="A26" s="155" t="str">
        <f>IFERROR(__xludf.DUMMYFUNCTION("""COMPUTED_VALUE"""),"Interest Expense
Interest Expense")</f>
        <v>Interest Expense
Interest Expense</v>
      </c>
      <c r="B26" s="75" t="str">
        <f>IFERROR(__xludf.DUMMYFUNCTION("""COMPUTED_VALUE"""),"371M")</f>
        <v>371M</v>
      </c>
      <c r="C26" s="75" t="str">
        <f>IFERROR(__xludf.DUMMYFUNCTION("""COMPUTED_VALUE"""),"191M")</f>
        <v>191M</v>
      </c>
      <c r="D26" s="75" t="str">
        <f>IFERROR(__xludf.DUMMYFUNCTION("""COMPUTED_VALUE"""),"156M")</f>
        <v>156M</v>
      </c>
      <c r="E26" s="75" t="str">
        <f>IFERROR(__xludf.DUMMYFUNCTION("""COMPUTED_VALUE"""),"350M")</f>
        <v>350M</v>
      </c>
      <c r="F26" s="75" t="str">
        <f>IFERROR(__xludf.DUMMYFUNCTION("""COMPUTED_VALUE"""),"338M")</f>
        <v>338M</v>
      </c>
      <c r="G26" s="75"/>
    </row>
    <row r="27">
      <c r="A27" s="75" t="str">
        <f>IFERROR(__xludf.DUMMYFUNCTION("""COMPUTED_VALUE"""),"Interest Expense Growth
Interest Expense Growth")</f>
        <v>Interest Expense Growth
Interest Expense Growth</v>
      </c>
      <c r="B27" s="75" t="str">
        <f>IFERROR(__xludf.DUMMYFUNCTION("""COMPUTED_VALUE"""),"-")</f>
        <v>-</v>
      </c>
      <c r="C27" s="74">
        <f>IFERROR(__xludf.DUMMYFUNCTION("""COMPUTED_VALUE"""),-0.4852)</f>
        <v>-0.4852</v>
      </c>
      <c r="D27" s="74">
        <f>IFERROR(__xludf.DUMMYFUNCTION("""COMPUTED_VALUE"""),-0.1832)</f>
        <v>-0.1832</v>
      </c>
      <c r="E27" s="74">
        <f>IFERROR(__xludf.DUMMYFUNCTION("""COMPUTED_VALUE"""),1.2436)</f>
        <v>1.2436</v>
      </c>
      <c r="F27" s="74">
        <f>IFERROR(__xludf.DUMMYFUNCTION("""COMPUTED_VALUE"""),-0.0343)</f>
        <v>-0.0343</v>
      </c>
      <c r="G27" s="75"/>
    </row>
    <row r="28">
      <c r="A28" s="75" t="str">
        <f>IFERROR(__xludf.DUMMYFUNCTION("""COMPUTED_VALUE"""),"Gross Interest Expense
Gross Interest Expense")</f>
        <v>Gross Interest Expense
Gross Interest Expense</v>
      </c>
      <c r="B28" s="75" t="str">
        <f>IFERROR(__xludf.DUMMYFUNCTION("""COMPUTED_VALUE"""),"424M")</f>
        <v>424M</v>
      </c>
      <c r="C28" s="75" t="str">
        <f>IFERROR(__xludf.DUMMYFUNCTION("""COMPUTED_VALUE"""),"191M")</f>
        <v>191M</v>
      </c>
      <c r="D28" s="75" t="str">
        <f>IFERROR(__xludf.DUMMYFUNCTION("""COMPUTED_VALUE"""),"156M")</f>
        <v>156M</v>
      </c>
      <c r="E28" s="75" t="str">
        <f>IFERROR(__xludf.DUMMYFUNCTION("""COMPUTED_VALUE"""),"350M")</f>
        <v>350M</v>
      </c>
      <c r="F28" s="75" t="str">
        <f>IFERROR(__xludf.DUMMYFUNCTION("""COMPUTED_VALUE"""),"338M")</f>
        <v>338M</v>
      </c>
      <c r="G28" s="75"/>
    </row>
    <row r="29">
      <c r="A29" s="75" t="str">
        <f>IFERROR(__xludf.DUMMYFUNCTION("""COMPUTED_VALUE"""),"Interest Capitalized
Interest Capitalized")</f>
        <v>Interest Capitalized
Interest Capitalized</v>
      </c>
      <c r="B29" s="75" t="str">
        <f>IFERROR(__xludf.DUMMYFUNCTION("""COMPUTED_VALUE"""),"53M")</f>
        <v>53M</v>
      </c>
      <c r="C29" s="75" t="str">
        <f>IFERROR(__xludf.DUMMYFUNCTION("""COMPUTED_VALUE"""),"-")</f>
        <v>-</v>
      </c>
      <c r="D29" s="75" t="str">
        <f>IFERROR(__xludf.DUMMYFUNCTION("""COMPUTED_VALUE"""),"-")</f>
        <v>-</v>
      </c>
      <c r="E29" s="75" t="str">
        <f>IFERROR(__xludf.DUMMYFUNCTION("""COMPUTED_VALUE"""),"-")</f>
        <v>-</v>
      </c>
      <c r="F29" s="75" t="str">
        <f>IFERROR(__xludf.DUMMYFUNCTION("""COMPUTED_VALUE"""),"-")</f>
        <v>-</v>
      </c>
      <c r="G29" s="75"/>
    </row>
    <row r="30">
      <c r="A30" s="155" t="str">
        <f>IFERROR(__xludf.DUMMYFUNCTION("""COMPUTED_VALUE"""),"Pretax Income
Pretax Income")</f>
        <v>Pretax Income
Pretax Income</v>
      </c>
      <c r="B30" s="75" t="str">
        <f>IFERROR(__xludf.DUMMYFUNCTION("""COMPUTED_VALUE"""),"6.34B")</f>
        <v>6.34B</v>
      </c>
      <c r="C30" s="75" t="str">
        <f>IFERROR(__xludf.DUMMYFUNCTION("""COMPUTED_VALUE"""),"13.72B")</f>
        <v>13.72B</v>
      </c>
      <c r="D30" s="75" t="str">
        <f>IFERROR(__xludf.DUMMYFUNCTION("""COMPUTED_VALUE"""),"9.97B")</f>
        <v>9.97B</v>
      </c>
      <c r="E30" s="75" t="str">
        <f>IFERROR(__xludf.DUMMYFUNCTION("""COMPUTED_VALUE"""),"8.99B")</f>
        <v>8.99B</v>
      </c>
      <c r="F30" s="75" t="str">
        <f>IFERROR(__xludf.DUMMYFUNCTION("""COMPUTED_VALUE"""),"5.28B")</f>
        <v>5.28B</v>
      </c>
      <c r="G30" s="75"/>
    </row>
    <row r="31">
      <c r="A31" s="75" t="str">
        <f>IFERROR(__xludf.DUMMYFUNCTION("""COMPUTED_VALUE"""),"Pretax Income Growth
Pretax Income Growth")</f>
        <v>Pretax Income Growth
Pretax Income Growth</v>
      </c>
      <c r="B31" s="75" t="str">
        <f>IFERROR(__xludf.DUMMYFUNCTION("""COMPUTED_VALUE"""),"-")</f>
        <v>-</v>
      </c>
      <c r="C31" s="74">
        <f>IFERROR(__xludf.DUMMYFUNCTION("""COMPUTED_VALUE"""),1.1629)</f>
        <v>1.1629</v>
      </c>
      <c r="D31" s="74">
        <f>IFERROR(__xludf.DUMMYFUNCTION("""COMPUTED_VALUE"""),-0.2731)</f>
        <v>-0.2731</v>
      </c>
      <c r="E31" s="74">
        <f>IFERROR(__xludf.DUMMYFUNCTION("""COMPUTED_VALUE"""),-0.0986)</f>
        <v>-0.0986</v>
      </c>
      <c r="F31" s="74">
        <f>IFERROR(__xludf.DUMMYFUNCTION("""COMPUTED_VALUE"""),-0.4129)</f>
        <v>-0.4129</v>
      </c>
      <c r="G31" s="75"/>
    </row>
    <row r="32">
      <c r="A32" s="75" t="str">
        <f>IFERROR(__xludf.DUMMYFUNCTION("""COMPUTED_VALUE"""),"Pretax Margin
Pretax Margin")</f>
        <v>Pretax Margin
Pretax Margin</v>
      </c>
      <c r="B32" s="75" t="str">
        <f>IFERROR(__xludf.DUMMYFUNCTION("""COMPUTED_VALUE"""),"-")</f>
        <v>-</v>
      </c>
      <c r="C32" s="75" t="str">
        <f>IFERROR(__xludf.DUMMYFUNCTION("""COMPUTED_VALUE"""),"-")</f>
        <v>-</v>
      </c>
      <c r="D32" s="75" t="str">
        <f>IFERROR(__xludf.DUMMYFUNCTION("""COMPUTED_VALUE"""),"-")</f>
        <v>-</v>
      </c>
      <c r="E32" s="75" t="str">
        <f>IFERROR(__xludf.DUMMYFUNCTION("""COMPUTED_VALUE"""),"-")</f>
        <v>-</v>
      </c>
      <c r="F32" s="74">
        <f>IFERROR(__xludf.DUMMYFUNCTION("""COMPUTED_VALUE"""),0.0557)</f>
        <v>0.0557</v>
      </c>
      <c r="G32" s="75"/>
    </row>
    <row r="33">
      <c r="A33" s="155" t="str">
        <f>IFERROR(__xludf.DUMMYFUNCTION("""COMPUTED_VALUE"""),"Income Tax
Income Tax")</f>
        <v>Income Tax
Income Tax</v>
      </c>
      <c r="B33" s="75" t="str">
        <f>IFERROR(__xludf.DUMMYFUNCTION("""COMPUTED_VALUE"""),"699M")</f>
        <v>699M</v>
      </c>
      <c r="C33" s="75" t="str">
        <f>IFERROR(__xludf.DUMMYFUNCTION("""COMPUTED_VALUE"""),"1.13B")</f>
        <v>1.13B</v>
      </c>
      <c r="D33" s="75" t="str">
        <f>IFERROR(__xludf.DUMMYFUNCTION("""COMPUTED_VALUE"""),"(5B)")</f>
        <v>(5B)</v>
      </c>
      <c r="E33" s="75" t="str">
        <f>IFERROR(__xludf.DUMMYFUNCTION("""COMPUTED_VALUE"""),"1.84B")</f>
        <v>1.84B</v>
      </c>
      <c r="F33" s="75" t="str">
        <f>IFERROR(__xludf.DUMMYFUNCTION("""COMPUTED_VALUE"""),"1.42B")</f>
        <v>1.42B</v>
      </c>
      <c r="G33" s="75"/>
    </row>
    <row r="34">
      <c r="A34" s="155" t="str">
        <f>IFERROR(__xludf.DUMMYFUNCTION("""COMPUTED_VALUE"""),"Income Tax - Current Domestic
Income Tax - Current Domestic")</f>
        <v>Income Tax - Current Domestic
Income Tax - Current Domestic</v>
      </c>
      <c r="B34" s="75" t="str">
        <f>IFERROR(__xludf.DUMMYFUNCTION("""COMPUTED_VALUE"""),"9M")</f>
        <v>9M</v>
      </c>
      <c r="C34" s="75" t="str">
        <f>IFERROR(__xludf.DUMMYFUNCTION("""COMPUTED_VALUE"""),"62M")</f>
        <v>62M</v>
      </c>
      <c r="D34" s="75" t="str">
        <f>IFERROR(__xludf.DUMMYFUNCTION("""COMPUTED_VALUE"""),"105M")</f>
        <v>105M</v>
      </c>
      <c r="E34" s="75" t="str">
        <f>IFERROR(__xludf.DUMMYFUNCTION("""COMPUTED_VALUE"""),"45M")</f>
        <v>45M</v>
      </c>
      <c r="F34" s="75" t="str">
        <f>IFERROR(__xludf.DUMMYFUNCTION("""COMPUTED_VALUE"""),"5M")</f>
        <v>5M</v>
      </c>
      <c r="G34" s="75"/>
    </row>
    <row r="35">
      <c r="A35" s="155" t="str">
        <f>IFERROR(__xludf.DUMMYFUNCTION("""COMPUTED_VALUE"""),"Income Tax - Current Foreign
Income Tax - Current Foreign")</f>
        <v>Income Tax - Current Foreign
Income Tax - Current Foreign</v>
      </c>
      <c r="B35" s="75" t="str">
        <f>IFERROR(__xludf.DUMMYFUNCTION("""COMPUTED_VALUE"""),"839M")</f>
        <v>839M</v>
      </c>
      <c r="C35" s="75" t="str">
        <f>IFERROR(__xludf.DUMMYFUNCTION("""COMPUTED_VALUE"""),"1.27B")</f>
        <v>1.27B</v>
      </c>
      <c r="D35" s="75" t="str">
        <f>IFERROR(__xludf.DUMMYFUNCTION("""COMPUTED_VALUE"""),"1.24B")</f>
        <v>1.24B</v>
      </c>
      <c r="E35" s="75" t="str">
        <f>IFERROR(__xludf.DUMMYFUNCTION("""COMPUTED_VALUE"""),"1.32B")</f>
        <v>1.32B</v>
      </c>
      <c r="F35" s="75" t="str">
        <f>IFERROR(__xludf.DUMMYFUNCTION("""COMPUTED_VALUE"""),"1.3B")</f>
        <v>1.3B</v>
      </c>
      <c r="G35" s="75"/>
    </row>
    <row r="36">
      <c r="A36" s="155" t="str">
        <f>IFERROR(__xludf.DUMMYFUNCTION("""COMPUTED_VALUE"""),"Income Tax - Deferred Domestic
Income Tax - Deferred Domestic")</f>
        <v>Income Tax - Deferred Domestic
Income Tax - Deferred Domestic</v>
      </c>
      <c r="B36" s="75" t="str">
        <f>IFERROR(__xludf.DUMMYFUNCTION("""COMPUTED_VALUE"""),"-")</f>
        <v>-</v>
      </c>
      <c r="C36" s="75" t="str">
        <f>IFERROR(__xludf.DUMMYFUNCTION("""COMPUTED_VALUE"""),"27M")</f>
        <v>27M</v>
      </c>
      <c r="D36" s="75" t="str">
        <f>IFERROR(__xludf.DUMMYFUNCTION("""COMPUTED_VALUE"""),"(5.9B)")</f>
        <v>(5.9B)</v>
      </c>
      <c r="E36" s="75" t="str">
        <f>IFERROR(__xludf.DUMMYFUNCTION("""COMPUTED_VALUE"""),"782M")</f>
        <v>782M</v>
      </c>
      <c r="F36" s="75" t="str">
        <f>IFERROR(__xludf.DUMMYFUNCTION("""COMPUTED_VALUE"""),"455M")</f>
        <v>455M</v>
      </c>
      <c r="G36" s="75"/>
    </row>
    <row r="37">
      <c r="A37" s="155" t="str">
        <f>IFERROR(__xludf.DUMMYFUNCTION("""COMPUTED_VALUE"""),"Income Tax - Deferred Foreign
Income Tax - Deferred Foreign")</f>
        <v>Income Tax - Deferred Foreign
Income Tax - Deferred Foreign</v>
      </c>
      <c r="B37" s="75" t="str">
        <f>IFERROR(__xludf.DUMMYFUNCTION("""COMPUTED_VALUE"""),"(149M)")</f>
        <v>(149M)</v>
      </c>
      <c r="C37" s="75" t="str">
        <f>IFERROR(__xludf.DUMMYFUNCTION("""COMPUTED_VALUE"""),"(223M)")</f>
        <v>(223M)</v>
      </c>
      <c r="D37" s="75" t="str">
        <f>IFERROR(__xludf.DUMMYFUNCTION("""COMPUTED_VALUE"""),"(450M)")</f>
        <v>(450M)</v>
      </c>
      <c r="E37" s="75" t="str">
        <f>IFERROR(__xludf.DUMMYFUNCTION("""COMPUTED_VALUE"""),"(305M)")</f>
        <v>(305M)</v>
      </c>
      <c r="F37" s="75" t="str">
        <f>IFERROR(__xludf.DUMMYFUNCTION("""COMPUTED_VALUE"""),"(332M)")</f>
        <v>(332M)</v>
      </c>
      <c r="G37" s="75"/>
    </row>
    <row r="38">
      <c r="A38" s="155" t="str">
        <f>IFERROR(__xludf.DUMMYFUNCTION("""COMPUTED_VALUE"""),"Income Tax Credits
Income Tax Credits")</f>
        <v>Income Tax Credits
Income Tax Credits</v>
      </c>
      <c r="B38" s="75" t="str">
        <f>IFERROR(__xludf.DUMMYFUNCTION("""COMPUTED_VALUE"""),"-")</f>
        <v>-</v>
      </c>
      <c r="C38" s="75" t="str">
        <f>IFERROR(__xludf.DUMMYFUNCTION("""COMPUTED_VALUE"""),"-")</f>
        <v>-</v>
      </c>
      <c r="D38" s="75" t="str">
        <f>IFERROR(__xludf.DUMMYFUNCTION("""COMPUTED_VALUE"""),"-")</f>
        <v>-</v>
      </c>
      <c r="E38" s="75" t="str">
        <f>IFERROR(__xludf.DUMMYFUNCTION("""COMPUTED_VALUE"""),"-")</f>
        <v>-</v>
      </c>
      <c r="F38" s="75" t="str">
        <f>IFERROR(__xludf.DUMMYFUNCTION("""COMPUTED_VALUE"""),"-")</f>
        <v>-</v>
      </c>
      <c r="G38" s="75"/>
    </row>
    <row r="39">
      <c r="A39" s="75" t="str">
        <f>IFERROR(__xludf.DUMMYFUNCTION("""COMPUTED_VALUE"""),"Equity in Affiliates
Equity in Affiliates")</f>
        <v>Equity in Affiliates
Equity in Affiliates</v>
      </c>
      <c r="B39" s="75" t="str">
        <f>IFERROR(__xludf.DUMMYFUNCTION("""COMPUTED_VALUE"""),"-")</f>
        <v>-</v>
      </c>
      <c r="C39" s="75" t="str">
        <f>IFERROR(__xludf.DUMMYFUNCTION("""COMPUTED_VALUE"""),"-")</f>
        <v>-</v>
      </c>
      <c r="D39" s="75" t="str">
        <f>IFERROR(__xludf.DUMMYFUNCTION("""COMPUTED_VALUE"""),"-")</f>
        <v>-</v>
      </c>
      <c r="E39" s="75" t="str">
        <f>IFERROR(__xludf.DUMMYFUNCTION("""COMPUTED_VALUE"""),"-")</f>
        <v>-</v>
      </c>
      <c r="F39" s="75" t="str">
        <f>IFERROR(__xludf.DUMMYFUNCTION("""COMPUTED_VALUE"""),"-")</f>
        <v>-</v>
      </c>
      <c r="G39" s="75"/>
    </row>
    <row r="40">
      <c r="A40" s="75" t="str">
        <f>IFERROR(__xludf.DUMMYFUNCTION("""COMPUTED_VALUE"""),"Other After Tax Income (Expense)
Other After Tax Income (Expense)")</f>
        <v>Other After Tax Income (Expense)
Other After Tax Income (Expense)</v>
      </c>
      <c r="B40" s="75" t="str">
        <f>IFERROR(__xludf.DUMMYFUNCTION("""COMPUTED_VALUE"""),"5M")</f>
        <v>5M</v>
      </c>
      <c r="C40" s="75" t="str">
        <f>IFERROR(__xludf.DUMMYFUNCTION("""COMPUTED_VALUE"""),"27M")</f>
        <v>27M</v>
      </c>
      <c r="D40" s="75" t="str">
        <f>IFERROR(__xludf.DUMMYFUNCTION("""COMPUTED_VALUE"""),"2M")</f>
        <v>2M</v>
      </c>
      <c r="E40" s="75" t="str">
        <f>IFERROR(__xludf.DUMMYFUNCTION("""COMPUTED_VALUE"""),"39M")</f>
        <v>39M</v>
      </c>
      <c r="F40" s="75" t="str">
        <f>IFERROR(__xludf.DUMMYFUNCTION("""COMPUTED_VALUE"""),"-")</f>
        <v>-</v>
      </c>
      <c r="G40" s="75"/>
    </row>
    <row r="41">
      <c r="A41" s="75" t="str">
        <f>IFERROR(__xludf.DUMMYFUNCTION("""COMPUTED_VALUE"""),"Consolidated Net Income
Consolidated Net Income")</f>
        <v>Consolidated Net Income
Consolidated Net Income</v>
      </c>
      <c r="B41" s="75" t="str">
        <f>IFERROR(__xludf.DUMMYFUNCTION("""COMPUTED_VALUE"""),"5.65B")</f>
        <v>5.65B</v>
      </c>
      <c r="C41" s="75" t="str">
        <f>IFERROR(__xludf.DUMMYFUNCTION("""COMPUTED_VALUE"""),"12.61B")</f>
        <v>12.61B</v>
      </c>
      <c r="D41" s="75" t="str">
        <f>IFERROR(__xludf.DUMMYFUNCTION("""COMPUTED_VALUE"""),"14.98B")</f>
        <v>14.98B</v>
      </c>
      <c r="E41" s="75" t="str">
        <f>IFERROR(__xludf.DUMMYFUNCTION("""COMPUTED_VALUE"""),"7.19B")</f>
        <v>7.19B</v>
      </c>
      <c r="F41" s="75" t="str">
        <f>IFERROR(__xludf.DUMMYFUNCTION("""COMPUTED_VALUE"""),"3.86B")</f>
        <v>3.86B</v>
      </c>
      <c r="G41" s="75"/>
    </row>
    <row r="42">
      <c r="A42" s="75" t="str">
        <f>IFERROR(__xludf.DUMMYFUNCTION("""COMPUTED_VALUE"""),"Minority Interest Expense
Minority Interest Expense")</f>
        <v>Minority Interest Expense
Minority Interest Expense</v>
      </c>
      <c r="B42" s="75" t="str">
        <f>IFERROR(__xludf.DUMMYFUNCTION("""COMPUTED_VALUE"""),"125M")</f>
        <v>125M</v>
      </c>
      <c r="C42" s="75" t="str">
        <f>IFERROR(__xludf.DUMMYFUNCTION("""COMPUTED_VALUE"""),"31M")</f>
        <v>31M</v>
      </c>
      <c r="D42" s="75" t="str">
        <f>IFERROR(__xludf.DUMMYFUNCTION("""COMPUTED_VALUE"""),"(23M)")</f>
        <v>(23M)</v>
      </c>
      <c r="E42" s="75" t="str">
        <f>IFERROR(__xludf.DUMMYFUNCTION("""COMPUTED_VALUE"""),"62M")</f>
        <v>62M</v>
      </c>
      <c r="F42" s="75" t="str">
        <f>IFERROR(__xludf.DUMMYFUNCTION("""COMPUTED_VALUE"""),"61M")</f>
        <v>61M</v>
      </c>
      <c r="G42" s="75"/>
    </row>
    <row r="43">
      <c r="A43" s="155" t="str">
        <f>IFERROR(__xludf.DUMMYFUNCTION("""COMPUTED_VALUE"""),"Net Income
Net Income")</f>
        <v>Net Income
Net Income</v>
      </c>
      <c r="B43" s="75" t="str">
        <f>IFERROR(__xludf.DUMMYFUNCTION("""COMPUTED_VALUE"""),"5.52B")</f>
        <v>5.52B</v>
      </c>
      <c r="C43" s="75" t="str">
        <f>IFERROR(__xludf.DUMMYFUNCTION("""COMPUTED_VALUE"""),"12.58B")</f>
        <v>12.58B</v>
      </c>
      <c r="D43" s="75" t="str">
        <f>IFERROR(__xludf.DUMMYFUNCTION("""COMPUTED_VALUE"""),"15B")</f>
        <v>15B</v>
      </c>
      <c r="E43" s="75" t="str">
        <f>IFERROR(__xludf.DUMMYFUNCTION("""COMPUTED_VALUE"""),"7.13B")</f>
        <v>7.13B</v>
      </c>
      <c r="F43" s="75" t="str">
        <f>IFERROR(__xludf.DUMMYFUNCTION("""COMPUTED_VALUE"""),"3.79B")</f>
        <v>3.79B</v>
      </c>
      <c r="G43" s="75"/>
    </row>
    <row r="44">
      <c r="A44" s="155" t="str">
        <f>IFERROR(__xludf.DUMMYFUNCTION("""COMPUTED_VALUE"""),"Net Income Growth
Net Income Growth")</f>
        <v>Net Income Growth
Net Income Growth</v>
      </c>
      <c r="B44" s="75" t="str">
        <f>IFERROR(__xludf.DUMMYFUNCTION("""COMPUTED_VALUE"""),"-")</f>
        <v>-</v>
      </c>
      <c r="C44" s="74">
        <f>IFERROR(__xludf.DUMMYFUNCTION("""COMPUTED_VALUE"""),1.2779)</f>
        <v>1.2779</v>
      </c>
      <c r="D44" s="74">
        <f>IFERROR(__xludf.DUMMYFUNCTION("""COMPUTED_VALUE"""),0.192)</f>
        <v>0.192</v>
      </c>
      <c r="E44" s="74">
        <f>IFERROR(__xludf.DUMMYFUNCTION("""COMPUTED_VALUE"""),-0.5246)</f>
        <v>-0.5246</v>
      </c>
      <c r="F44" s="74">
        <f>IFERROR(__xludf.DUMMYFUNCTION("""COMPUTED_VALUE"""),-0.4679)</f>
        <v>-0.4679</v>
      </c>
      <c r="G44" s="75"/>
    </row>
    <row r="45">
      <c r="A45" s="155" t="str">
        <f>IFERROR(__xludf.DUMMYFUNCTION("""COMPUTED_VALUE"""),"Net Margin Growth
Net Margin Growth")</f>
        <v>Net Margin Growth
Net Margin Growth</v>
      </c>
      <c r="B45" s="75" t="str">
        <f>IFERROR(__xludf.DUMMYFUNCTION("""COMPUTED_VALUE"""),"-")</f>
        <v>-</v>
      </c>
      <c r="C45" s="75" t="str">
        <f>IFERROR(__xludf.DUMMYFUNCTION("""COMPUTED_VALUE"""),"-")</f>
        <v>-</v>
      </c>
      <c r="D45" s="75" t="str">
        <f>IFERROR(__xludf.DUMMYFUNCTION("""COMPUTED_VALUE"""),"-")</f>
        <v>-</v>
      </c>
      <c r="E45" s="75" t="str">
        <f>IFERROR(__xludf.DUMMYFUNCTION("""COMPUTED_VALUE"""),"-")</f>
        <v>-</v>
      </c>
      <c r="F45" s="74">
        <f>IFERROR(__xludf.DUMMYFUNCTION("""COMPUTED_VALUE"""),0.04)</f>
        <v>0.04</v>
      </c>
      <c r="G45" s="75"/>
    </row>
    <row r="46">
      <c r="A46" s="75" t="str">
        <f>IFERROR(__xludf.DUMMYFUNCTION("""COMPUTED_VALUE"""),"Extraordinaries &amp; Discontinued Operations
Extraordinaries &amp; Discontinued Operations")</f>
        <v>Extraordinaries &amp; Discontinued Operations
Extraordinaries &amp; Discontinued Operations</v>
      </c>
      <c r="B46" s="75" t="str">
        <f>IFERROR(__xludf.DUMMYFUNCTION("""COMPUTED_VALUE"""),"-")</f>
        <v>-</v>
      </c>
      <c r="C46" s="75" t="str">
        <f>IFERROR(__xludf.DUMMYFUNCTION("""COMPUTED_VALUE"""),"-")</f>
        <v>-</v>
      </c>
      <c r="D46" s="75" t="str">
        <f>IFERROR(__xludf.DUMMYFUNCTION("""COMPUTED_VALUE"""),"-")</f>
        <v>-</v>
      </c>
      <c r="E46" s="75" t="str">
        <f>IFERROR(__xludf.DUMMYFUNCTION("""COMPUTED_VALUE"""),"-")</f>
        <v>-</v>
      </c>
      <c r="F46" s="75" t="str">
        <f>IFERROR(__xludf.DUMMYFUNCTION("""COMPUTED_VALUE"""),"-")</f>
        <v>-</v>
      </c>
      <c r="G46" s="75"/>
    </row>
    <row r="47">
      <c r="A47" s="75" t="str">
        <f>IFERROR(__xludf.DUMMYFUNCTION("""COMPUTED_VALUE"""),"Extra Items &amp; Gain/Loss Sale Of Assets
Extra Items &amp; Gain/Loss Sale Of Assets")</f>
        <v>Extra Items &amp; Gain/Loss Sale Of Assets
Extra Items &amp; Gain/Loss Sale Of Assets</v>
      </c>
      <c r="B47" s="75" t="str">
        <f>IFERROR(__xludf.DUMMYFUNCTION("""COMPUTED_VALUE"""),"-")</f>
        <v>-</v>
      </c>
      <c r="C47" s="75" t="str">
        <f>IFERROR(__xludf.DUMMYFUNCTION("""COMPUTED_VALUE"""),"-")</f>
        <v>-</v>
      </c>
      <c r="D47" s="75" t="str">
        <f>IFERROR(__xludf.DUMMYFUNCTION("""COMPUTED_VALUE"""),"-")</f>
        <v>-</v>
      </c>
      <c r="E47" s="75" t="str">
        <f>IFERROR(__xludf.DUMMYFUNCTION("""COMPUTED_VALUE"""),"-")</f>
        <v>-</v>
      </c>
      <c r="F47" s="75" t="str">
        <f>IFERROR(__xludf.DUMMYFUNCTION("""COMPUTED_VALUE"""),"-")</f>
        <v>-</v>
      </c>
      <c r="G47" s="75"/>
    </row>
    <row r="48">
      <c r="A48" s="75" t="str">
        <f>IFERROR(__xludf.DUMMYFUNCTION("""COMPUTED_VALUE"""),"Cumulative Effect - Accounting Chg
Cumulative Effect - Accounting Chg")</f>
        <v>Cumulative Effect - Accounting Chg
Cumulative Effect - Accounting Chg</v>
      </c>
      <c r="B48" s="75" t="str">
        <f>IFERROR(__xludf.DUMMYFUNCTION("""COMPUTED_VALUE"""),"-")</f>
        <v>-</v>
      </c>
      <c r="C48" s="75" t="str">
        <f>IFERROR(__xludf.DUMMYFUNCTION("""COMPUTED_VALUE"""),"-")</f>
        <v>-</v>
      </c>
      <c r="D48" s="75" t="str">
        <f>IFERROR(__xludf.DUMMYFUNCTION("""COMPUTED_VALUE"""),"-")</f>
        <v>-</v>
      </c>
      <c r="E48" s="75" t="str">
        <f>IFERROR(__xludf.DUMMYFUNCTION("""COMPUTED_VALUE"""),"-")</f>
        <v>-</v>
      </c>
      <c r="F48" s="75" t="str">
        <f>IFERROR(__xludf.DUMMYFUNCTION("""COMPUTED_VALUE"""),"-")</f>
        <v>-</v>
      </c>
      <c r="G48" s="75"/>
    </row>
    <row r="49">
      <c r="A49" s="75" t="str">
        <f>IFERROR(__xludf.DUMMYFUNCTION("""COMPUTED_VALUE"""),"Discontinued Operations
Discontinued Operations")</f>
        <v>Discontinued Operations
Discontinued Operations</v>
      </c>
      <c r="B49" s="75" t="str">
        <f>IFERROR(__xludf.DUMMYFUNCTION("""COMPUTED_VALUE"""),"-")</f>
        <v>-</v>
      </c>
      <c r="C49" s="75" t="str">
        <f>IFERROR(__xludf.DUMMYFUNCTION("""COMPUTED_VALUE"""),"-")</f>
        <v>-</v>
      </c>
      <c r="D49" s="75" t="str">
        <f>IFERROR(__xludf.DUMMYFUNCTION("""COMPUTED_VALUE"""),"-")</f>
        <v>-</v>
      </c>
      <c r="E49" s="75" t="str">
        <f>IFERROR(__xludf.DUMMYFUNCTION("""COMPUTED_VALUE"""),"-")</f>
        <v>-</v>
      </c>
      <c r="F49" s="75" t="str">
        <f>IFERROR(__xludf.DUMMYFUNCTION("""COMPUTED_VALUE"""),"-")</f>
        <v>-</v>
      </c>
      <c r="G49" s="75"/>
    </row>
    <row r="50">
      <c r="A50" s="75" t="str">
        <f>IFERROR(__xludf.DUMMYFUNCTION("""COMPUTED_VALUE"""),"Net Income After Extraordinaries
Net Income After Extraordinaries")</f>
        <v>Net Income After Extraordinaries
Net Income After Extraordinaries</v>
      </c>
      <c r="B50" s="75" t="str">
        <f>IFERROR(__xludf.DUMMYFUNCTION("""COMPUTED_VALUE"""),"5.52B")</f>
        <v>5.52B</v>
      </c>
      <c r="C50" s="75" t="str">
        <f>IFERROR(__xludf.DUMMYFUNCTION("""COMPUTED_VALUE"""),"12.58B")</f>
        <v>12.58B</v>
      </c>
      <c r="D50" s="75" t="str">
        <f>IFERROR(__xludf.DUMMYFUNCTION("""COMPUTED_VALUE"""),"15B")</f>
        <v>15B</v>
      </c>
      <c r="E50" s="75" t="str">
        <f>IFERROR(__xludf.DUMMYFUNCTION("""COMPUTED_VALUE"""),"7.13B")</f>
        <v>7.13B</v>
      </c>
      <c r="F50" s="75" t="str">
        <f>IFERROR(__xludf.DUMMYFUNCTION("""COMPUTED_VALUE"""),"3.79B")</f>
        <v>3.79B</v>
      </c>
      <c r="G50" s="75"/>
    </row>
    <row r="51">
      <c r="A51" s="75" t="str">
        <f>IFERROR(__xludf.DUMMYFUNCTION("""COMPUTED_VALUE"""),"Preferred Dividends
Preferred Dividends")</f>
        <v>Preferred Dividends
Preferred Dividends</v>
      </c>
      <c r="B51" s="75" t="str">
        <f>IFERROR(__xludf.DUMMYFUNCTION("""COMPUTED_VALUE"""),"-")</f>
        <v>-</v>
      </c>
      <c r="C51" s="75" t="str">
        <f>IFERROR(__xludf.DUMMYFUNCTION("""COMPUTED_VALUE"""),"-")</f>
        <v>-</v>
      </c>
      <c r="D51" s="75" t="str">
        <f>IFERROR(__xludf.DUMMYFUNCTION("""COMPUTED_VALUE"""),"-")</f>
        <v>-</v>
      </c>
      <c r="E51" s="75" t="str">
        <f>IFERROR(__xludf.DUMMYFUNCTION("""COMPUTED_VALUE"""),"-")</f>
        <v>-</v>
      </c>
      <c r="F51" s="75" t="str">
        <f>IFERROR(__xludf.DUMMYFUNCTION("""COMPUTED_VALUE"""),"-")</f>
        <v>-</v>
      </c>
      <c r="G51" s="75"/>
    </row>
    <row r="52">
      <c r="A52" s="155" t="str">
        <f>IFERROR(__xludf.DUMMYFUNCTION("""COMPUTED_VALUE"""),"Net Income Available to Common
Net Income Available to Common")</f>
        <v>Net Income Available to Common
Net Income Available to Common</v>
      </c>
      <c r="B52" s="75" t="str">
        <f>IFERROR(__xludf.DUMMYFUNCTION("""COMPUTED_VALUE"""),"5.52B")</f>
        <v>5.52B</v>
      </c>
      <c r="C52" s="75" t="str">
        <f>IFERROR(__xludf.DUMMYFUNCTION("""COMPUTED_VALUE"""),"12.58B")</f>
        <v>12.58B</v>
      </c>
      <c r="D52" s="75" t="str">
        <f>IFERROR(__xludf.DUMMYFUNCTION("""COMPUTED_VALUE"""),"15B")</f>
        <v>15B</v>
      </c>
      <c r="E52" s="75" t="str">
        <f>IFERROR(__xludf.DUMMYFUNCTION("""COMPUTED_VALUE"""),"7.13B")</f>
        <v>7.13B</v>
      </c>
      <c r="F52" s="75" t="str">
        <f>IFERROR(__xludf.DUMMYFUNCTION("""COMPUTED_VALUE"""),"3.79B")</f>
        <v>3.79B</v>
      </c>
      <c r="G52" s="75"/>
    </row>
    <row r="53">
      <c r="A53" s="155" t="str">
        <f>IFERROR(__xludf.DUMMYFUNCTION("""COMPUTED_VALUE"""),"EPS (Basic)
EPS (Basic)")</f>
        <v>EPS (Basic)
EPS (Basic)</v>
      </c>
      <c r="B53" s="75">
        <f>IFERROR(__xludf.DUMMYFUNCTION("""COMPUTED_VALUE"""),1.87)</f>
        <v>1.87</v>
      </c>
      <c r="C53" s="75">
        <f>IFERROR(__xludf.DUMMYFUNCTION("""COMPUTED_VALUE"""),4.02)</f>
        <v>4.02</v>
      </c>
      <c r="D53" s="75">
        <f>IFERROR(__xludf.DUMMYFUNCTION("""COMPUTED_VALUE"""),4.73)</f>
        <v>4.73</v>
      </c>
      <c r="E53" s="75">
        <f>IFERROR(__xludf.DUMMYFUNCTION("""COMPUTED_VALUE"""),2.23)</f>
        <v>2.23</v>
      </c>
      <c r="F53" s="75">
        <f>IFERROR(__xludf.DUMMYFUNCTION("""COMPUTED_VALUE"""),1.18)</f>
        <v>1.18</v>
      </c>
      <c r="G53" s="75"/>
    </row>
    <row r="54">
      <c r="A54" s="155" t="str">
        <f>IFERROR(__xludf.DUMMYFUNCTION("""COMPUTED_VALUE"""),"EPS (Basic) Growth
EPS (Basic) Growth")</f>
        <v>EPS (Basic) Growth
EPS (Basic) Growth</v>
      </c>
      <c r="B54" s="75" t="str">
        <f>IFERROR(__xludf.DUMMYFUNCTION("""COMPUTED_VALUE"""),"-")</f>
        <v>-</v>
      </c>
      <c r="C54" s="74">
        <f>IFERROR(__xludf.DUMMYFUNCTION("""COMPUTED_VALUE"""),1.1527)</f>
        <v>1.1527</v>
      </c>
      <c r="D54" s="74">
        <f>IFERROR(__xludf.DUMMYFUNCTION("""COMPUTED_VALUE"""),0.1755)</f>
        <v>0.1755</v>
      </c>
      <c r="E54" s="74">
        <f>IFERROR(__xludf.DUMMYFUNCTION("""COMPUTED_VALUE"""),-0.5281)</f>
        <v>-0.5281</v>
      </c>
      <c r="F54" s="74">
        <f>IFERROR(__xludf.DUMMYFUNCTION("""COMPUTED_VALUE"""),-0.4725)</f>
        <v>-0.4725</v>
      </c>
      <c r="G54" s="75"/>
    </row>
    <row r="55">
      <c r="A55" s="155" t="str">
        <f>IFERROR(__xludf.DUMMYFUNCTION("""COMPUTED_VALUE"""),"Basic Shares Outstanding
Basic Shares Outstanding")</f>
        <v>Basic Shares Outstanding
Basic Shares Outstanding</v>
      </c>
      <c r="B55" s="75" t="str">
        <f>IFERROR(__xludf.DUMMYFUNCTION("""COMPUTED_VALUE"""),"2.96B")</f>
        <v>2.96B</v>
      </c>
      <c r="C55" s="75" t="str">
        <f>IFERROR(__xludf.DUMMYFUNCTION("""COMPUTED_VALUE"""),"3.13B")</f>
        <v>3.13B</v>
      </c>
      <c r="D55" s="75" t="str">
        <f>IFERROR(__xludf.DUMMYFUNCTION("""COMPUTED_VALUE"""),"3.17B")</f>
        <v>3.17B</v>
      </c>
      <c r="E55" s="75" t="str">
        <f>IFERROR(__xludf.DUMMYFUNCTION("""COMPUTED_VALUE"""),"3.2B")</f>
        <v>3.2B</v>
      </c>
      <c r="F55" s="75" t="str">
        <f>IFERROR(__xludf.DUMMYFUNCTION("""COMPUTED_VALUE"""),"3.23B")</f>
        <v>3.23B</v>
      </c>
      <c r="G55" s="75"/>
    </row>
    <row r="56">
      <c r="A56" s="155" t="str">
        <f>IFERROR(__xludf.DUMMYFUNCTION("""COMPUTED_VALUE"""),"EPS (Diluted)
EPS (Diluted)")</f>
        <v>EPS (Diluted)
EPS (Diluted)</v>
      </c>
      <c r="B56" s="75">
        <f>IFERROR(__xludf.DUMMYFUNCTION("""COMPUTED_VALUE"""),1.63)</f>
        <v>1.63</v>
      </c>
      <c r="C56" s="75">
        <f>IFERROR(__xludf.DUMMYFUNCTION("""COMPUTED_VALUE"""),3.62)</f>
        <v>3.62</v>
      </c>
      <c r="D56" s="75">
        <f>IFERROR(__xludf.DUMMYFUNCTION("""COMPUTED_VALUE"""),4.3)</f>
        <v>4.3</v>
      </c>
      <c r="E56" s="75">
        <f>IFERROR(__xludf.DUMMYFUNCTION("""COMPUTED_VALUE"""),2.04)</f>
        <v>2.04</v>
      </c>
      <c r="F56" s="75">
        <f>IFERROR(__xludf.DUMMYFUNCTION("""COMPUTED_VALUE"""),1.08)</f>
        <v>1.08</v>
      </c>
      <c r="G56" s="75"/>
    </row>
    <row r="57">
      <c r="A57" s="155" t="str">
        <f>IFERROR(__xludf.DUMMYFUNCTION("""COMPUTED_VALUE"""),"EPS (Diluted) Growth
EPS (Diluted) Growth")</f>
        <v>EPS (Diluted) Growth
EPS (Diluted) Growth</v>
      </c>
      <c r="B57" s="75" t="str">
        <f>IFERROR(__xludf.DUMMYFUNCTION("""COMPUTED_VALUE"""),"-")</f>
        <v>-</v>
      </c>
      <c r="C57" s="74">
        <f>IFERROR(__xludf.DUMMYFUNCTION("""COMPUTED_VALUE"""),1.2204)</f>
        <v>1.2204</v>
      </c>
      <c r="D57" s="74">
        <f>IFERROR(__xludf.DUMMYFUNCTION("""COMPUTED_VALUE"""),0.1885)</f>
        <v>0.1885</v>
      </c>
      <c r="E57" s="74">
        <f>IFERROR(__xludf.DUMMYFUNCTION("""COMPUTED_VALUE"""),-0.5264)</f>
        <v>-0.5264</v>
      </c>
      <c r="F57" s="74">
        <f>IFERROR(__xludf.DUMMYFUNCTION("""COMPUTED_VALUE"""),-0.4724)</f>
        <v>-0.4724</v>
      </c>
      <c r="G57" s="75"/>
    </row>
    <row r="58">
      <c r="A58" s="75" t="str">
        <f>IFERROR(__xludf.DUMMYFUNCTION("""COMPUTED_VALUE"""),"Diluted Shares Outstanding
Diluted Shares Outstanding")</f>
        <v>Diluted Shares Outstanding
Diluted Shares Outstanding</v>
      </c>
      <c r="B58" s="75" t="str">
        <f>IFERROR(__xludf.DUMMYFUNCTION("""COMPUTED_VALUE"""),"3.39B")</f>
        <v>3.39B</v>
      </c>
      <c r="C58" s="75" t="str">
        <f>IFERROR(__xludf.DUMMYFUNCTION("""COMPUTED_VALUE"""),"3.48B")</f>
        <v>3.48B</v>
      </c>
      <c r="D58" s="75" t="str">
        <f>IFERROR(__xludf.DUMMYFUNCTION("""COMPUTED_VALUE"""),"3.49B")</f>
        <v>3.49B</v>
      </c>
      <c r="E58" s="75" t="str">
        <f>IFERROR(__xludf.DUMMYFUNCTION("""COMPUTED_VALUE"""),"3.5B")</f>
        <v>3.5B</v>
      </c>
      <c r="F58" s="75" t="str">
        <f>IFERROR(__xludf.DUMMYFUNCTION("""COMPUTED_VALUE"""),"3.53B")</f>
        <v>3.53B</v>
      </c>
      <c r="G58" s="75"/>
    </row>
    <row r="59">
      <c r="A59" s="155" t="str">
        <f>IFERROR(__xludf.DUMMYFUNCTION("""COMPUTED_VALUE"""),"EBITDA
EBITDA")</f>
        <v>EBITDA
EBITDA</v>
      </c>
      <c r="B59" s="75" t="str">
        <f>IFERROR(__xludf.DUMMYFUNCTION("""COMPUTED_VALUE"""),"9.41B")</f>
        <v>9.41B</v>
      </c>
      <c r="C59" s="75" t="str">
        <f>IFERROR(__xludf.DUMMYFUNCTION("""COMPUTED_VALUE"""),"17.38B")</f>
        <v>17.38B</v>
      </c>
      <c r="D59" s="75" t="str">
        <f>IFERROR(__xludf.DUMMYFUNCTION("""COMPUTED_VALUE"""),"13.56B")</f>
        <v>13.56B</v>
      </c>
      <c r="E59" s="75" t="str">
        <f>IFERROR(__xludf.DUMMYFUNCTION("""COMPUTED_VALUE"""),"13.13B")</f>
        <v>13.13B</v>
      </c>
      <c r="F59" s="75" t="str">
        <f>IFERROR(__xludf.DUMMYFUNCTION("""COMPUTED_VALUE"""),"11B")</f>
        <v>11B</v>
      </c>
      <c r="G59" s="75"/>
    </row>
    <row r="60">
      <c r="A60" s="155" t="str">
        <f>IFERROR(__xludf.DUMMYFUNCTION("""COMPUTED_VALUE"""),"EBITDA Growth
EBITDA Growth")</f>
        <v>EBITDA Growth
EBITDA Growth</v>
      </c>
      <c r="B60" s="75" t="str">
        <f>IFERROR(__xludf.DUMMYFUNCTION("""COMPUTED_VALUE"""),"-")</f>
        <v>-</v>
      </c>
      <c r="C60" s="74">
        <f>IFERROR(__xludf.DUMMYFUNCTION("""COMPUTED_VALUE"""),0.847)</f>
        <v>0.847</v>
      </c>
      <c r="D60" s="74">
        <f>IFERROR(__xludf.DUMMYFUNCTION("""COMPUTED_VALUE"""),-0.2197)</f>
        <v>-0.2197</v>
      </c>
      <c r="E60" s="74">
        <f>IFERROR(__xludf.DUMMYFUNCTION("""COMPUTED_VALUE"""),-0.0317)</f>
        <v>-0.0317</v>
      </c>
      <c r="F60" s="74">
        <f>IFERROR(__xludf.DUMMYFUNCTION("""COMPUTED_VALUE"""),-0.1623)</f>
        <v>-0.1623</v>
      </c>
      <c r="G60" s="75"/>
    </row>
    <row r="61">
      <c r="A61" s="155" t="str">
        <f>IFERROR(__xludf.DUMMYFUNCTION("""COMPUTED_VALUE"""),"EBITDA Margin
EBITDA Margin")</f>
        <v>EBITDA Margin
EBITDA Margin</v>
      </c>
      <c r="B61" s="75" t="str">
        <f>IFERROR(__xludf.DUMMYFUNCTION("""COMPUTED_VALUE"""),"-")</f>
        <v>-</v>
      </c>
      <c r="C61" s="75" t="str">
        <f>IFERROR(__xludf.DUMMYFUNCTION("""COMPUTED_VALUE"""),"-")</f>
        <v>-</v>
      </c>
      <c r="D61" s="75" t="str">
        <f>IFERROR(__xludf.DUMMYFUNCTION("""COMPUTED_VALUE"""),"-")</f>
        <v>-</v>
      </c>
      <c r="E61" s="75" t="str">
        <f>IFERROR(__xludf.DUMMYFUNCTION("""COMPUTED_VALUE"""),"-")</f>
        <v>-</v>
      </c>
      <c r="F61" s="74">
        <f>IFERROR(__xludf.DUMMYFUNCTION("""COMPUTED_VALUE"""),0.116)</f>
        <v>0.116</v>
      </c>
      <c r="G61" s="75"/>
    </row>
    <row r="65">
      <c r="A65" s="23"/>
    </row>
    <row r="68">
      <c r="A68" s="75" t="str">
        <f>IFERROR(__xludf.DUMMYFUNCTION("IMPORTHTML(CONCAT(CONCAT(""https://www.marketwatch.com/investing/stock/"",'Income Statement'!D1),""/financials/balance-sheet""),""table"",4)
"),"Item
Item")</f>
        <v>Item
Item</v>
      </c>
      <c r="B68" s="75">
        <f>IFERROR(__xludf.DUMMYFUNCTION("""COMPUTED_VALUE"""),2021.0)</f>
        <v>2021</v>
      </c>
      <c r="C68" s="75">
        <f>IFERROR(__xludf.DUMMYFUNCTION("""COMPUTED_VALUE"""),2022.0)</f>
        <v>2022</v>
      </c>
      <c r="D68" s="75">
        <f>IFERROR(__xludf.DUMMYFUNCTION("""COMPUTED_VALUE"""),2023.0)</f>
        <v>2023</v>
      </c>
      <c r="E68" s="75">
        <f>IFERROR(__xludf.DUMMYFUNCTION("""COMPUTED_VALUE"""),2024.0)</f>
        <v>2024</v>
      </c>
      <c r="F68" s="75">
        <f>IFERROR(__xludf.DUMMYFUNCTION("""COMPUTED_VALUE"""),2025.0)</f>
        <v>2025</v>
      </c>
      <c r="G68" s="75" t="str">
        <f>IFERROR(__xludf.DUMMYFUNCTION("""COMPUTED_VALUE"""),"5-year trend")</f>
        <v>5-year trend</v>
      </c>
    </row>
    <row r="69">
      <c r="A69" s="155" t="str">
        <f>IFERROR(__xludf.DUMMYFUNCTION("""COMPUTED_VALUE"""),"Cash &amp; Short Term Investments
Cash &amp; Short Term Investments")</f>
        <v>Cash &amp; Short Term Investments
Cash &amp; Short Term Investments</v>
      </c>
      <c r="B69" s="75" t="str">
        <f>IFERROR(__xludf.DUMMYFUNCTION("""COMPUTED_VALUE"""),"18.05B")</f>
        <v>18.05B</v>
      </c>
      <c r="C69" s="75" t="str">
        <f>IFERROR(__xludf.DUMMYFUNCTION("""COMPUTED_VALUE"""),"22.48B")</f>
        <v>22.48B</v>
      </c>
      <c r="D69" s="75" t="str">
        <f>IFERROR(__xludf.DUMMYFUNCTION("""COMPUTED_VALUE"""),"29.64B")</f>
        <v>29.64B</v>
      </c>
      <c r="E69" s="75" t="str">
        <f>IFERROR(__xludf.DUMMYFUNCTION("""COMPUTED_VALUE"""),"37.06B")</f>
        <v>37.06B</v>
      </c>
      <c r="F69" s="75" t="str">
        <f>IFERROR(__xludf.DUMMYFUNCTION("""COMPUTED_VALUE"""),"44.45B")</f>
        <v>44.45B</v>
      </c>
      <c r="G69" s="75"/>
    </row>
    <row r="70">
      <c r="A70" s="155" t="str">
        <f>IFERROR(__xludf.DUMMYFUNCTION("""COMPUTED_VALUE"""),"Cash &amp; Short Term Investments Growth
Cash &amp; Short Term Investments Growth")</f>
        <v>Cash &amp; Short Term Investments Growth
Cash &amp; Short Term Investments Growth</v>
      </c>
      <c r="B70" s="75" t="str">
        <f>IFERROR(__xludf.DUMMYFUNCTION("""COMPUTED_VALUE"""),"-")</f>
        <v>-</v>
      </c>
      <c r="C70" s="74">
        <f>IFERROR(__xludf.DUMMYFUNCTION("""COMPUTED_VALUE"""),0.2452)</f>
        <v>0.2452</v>
      </c>
      <c r="D70" s="74">
        <f>IFERROR(__xludf.DUMMYFUNCTION("""COMPUTED_VALUE"""),0.3184)</f>
        <v>0.3184</v>
      </c>
      <c r="E70" s="74">
        <f>IFERROR(__xludf.DUMMYFUNCTION("""COMPUTED_VALUE"""),0.2504)</f>
        <v>0.2504</v>
      </c>
      <c r="F70" s="74">
        <f>IFERROR(__xludf.DUMMYFUNCTION("""COMPUTED_VALUE"""),0.1994)</f>
        <v>0.1994</v>
      </c>
      <c r="G70" s="75"/>
    </row>
    <row r="71">
      <c r="A71" s="155" t="str">
        <f>IFERROR(__xludf.DUMMYFUNCTION("""COMPUTED_VALUE"""),"Cash Only
Cash Only")</f>
        <v>Cash Only
Cash Only</v>
      </c>
      <c r="B71" s="75" t="str">
        <f>IFERROR(__xludf.DUMMYFUNCTION("""COMPUTED_VALUE"""),"17.92B")</f>
        <v>17.92B</v>
      </c>
      <c r="C71" s="75" t="str">
        <f>IFERROR(__xludf.DUMMYFUNCTION("""COMPUTED_VALUE"""),"16.55B")</f>
        <v>16.55B</v>
      </c>
      <c r="D71" s="75" t="str">
        <f>IFERROR(__xludf.DUMMYFUNCTION("""COMPUTED_VALUE"""),"16.94B")</f>
        <v>16.94B</v>
      </c>
      <c r="E71" s="75" t="str">
        <f>IFERROR(__xludf.DUMMYFUNCTION("""COMPUTED_VALUE"""),"16.63B")</f>
        <v>16.63B</v>
      </c>
      <c r="F71" s="75" t="str">
        <f>IFERROR(__xludf.DUMMYFUNCTION("""COMPUTED_VALUE"""),"16.9B")</f>
        <v>16.9B</v>
      </c>
      <c r="G71" s="75"/>
    </row>
    <row r="72">
      <c r="A72" s="155" t="str">
        <f>IFERROR(__xludf.DUMMYFUNCTION("""COMPUTED_VALUE"""),"Short-Term Investments
Short-Term Investments")</f>
        <v>Short-Term Investments
Short-Term Investments</v>
      </c>
      <c r="B72" s="75" t="str">
        <f>IFERROR(__xludf.DUMMYFUNCTION("""COMPUTED_VALUE"""),"-")</f>
        <v>-</v>
      </c>
      <c r="C72" s="75" t="str">
        <f>IFERROR(__xludf.DUMMYFUNCTION("""COMPUTED_VALUE"""),"-")</f>
        <v>-</v>
      </c>
      <c r="D72" s="75" t="str">
        <f>IFERROR(__xludf.DUMMYFUNCTION("""COMPUTED_VALUE"""),"-")</f>
        <v>-</v>
      </c>
      <c r="E72" s="75" t="str">
        <f>IFERROR(__xludf.DUMMYFUNCTION("""COMPUTED_VALUE"""),"-")</f>
        <v>-</v>
      </c>
      <c r="F72" s="75" t="str">
        <f>IFERROR(__xludf.DUMMYFUNCTION("""COMPUTED_VALUE"""),"-")</f>
        <v>-</v>
      </c>
      <c r="G72" s="75"/>
    </row>
    <row r="73">
      <c r="A73" s="155" t="str">
        <f>IFERROR(__xludf.DUMMYFUNCTION("""COMPUTED_VALUE"""),"Cash &amp; ST Investments / Total Assets
Cash &amp; ST Investments / Total Assets")</f>
        <v>Cash &amp; ST Investments / Total Assets
Cash &amp; ST Investments / Total Assets</v>
      </c>
      <c r="B73" s="74">
        <f>IFERROR(__xludf.DUMMYFUNCTION("""COMPUTED_VALUE"""),0.2905)</f>
        <v>0.2905</v>
      </c>
      <c r="C73" s="74">
        <f>IFERROR(__xludf.DUMMYFUNCTION("""COMPUTED_VALUE"""),0.273)</f>
        <v>0.273</v>
      </c>
      <c r="D73" s="74">
        <f>IFERROR(__xludf.DUMMYFUNCTION("""COMPUTED_VALUE"""),0.278)</f>
        <v>0.278</v>
      </c>
      <c r="E73" s="74">
        <f>IFERROR(__xludf.DUMMYFUNCTION("""COMPUTED_VALUE"""),0.3036)</f>
        <v>0.3036</v>
      </c>
      <c r="F73" s="74">
        <f>IFERROR(__xludf.DUMMYFUNCTION("""COMPUTED_VALUE"""),0.3225)</f>
        <v>0.3225</v>
      </c>
      <c r="G73" s="75"/>
    </row>
    <row r="74">
      <c r="A74" s="155" t="str">
        <f>IFERROR(__xludf.DUMMYFUNCTION("""COMPUTED_VALUE"""),"Total Accounts Receivable
Total Accounts Receivable")</f>
        <v>Total Accounts Receivable
Total Accounts Receivable</v>
      </c>
      <c r="B74" s="75" t="str">
        <f>IFERROR(__xludf.DUMMYFUNCTION("""COMPUTED_VALUE"""),"1.91B")</f>
        <v>1.91B</v>
      </c>
      <c r="C74" s="75" t="str">
        <f>IFERROR(__xludf.DUMMYFUNCTION("""COMPUTED_VALUE"""),"2.95B")</f>
        <v>2.95B</v>
      </c>
      <c r="D74" s="75" t="str">
        <f>IFERROR(__xludf.DUMMYFUNCTION("""COMPUTED_VALUE"""),"3.51B")</f>
        <v>3.51B</v>
      </c>
      <c r="E74" s="75" t="str">
        <f>IFERROR(__xludf.DUMMYFUNCTION("""COMPUTED_VALUE"""),"4.42B")</f>
        <v>4.42B</v>
      </c>
      <c r="F74" s="75" t="str">
        <f>IFERROR(__xludf.DUMMYFUNCTION("""COMPUTED_VALUE"""),"4.71B")</f>
        <v>4.71B</v>
      </c>
      <c r="G74" s="75"/>
    </row>
    <row r="75">
      <c r="A75" s="157" t="str">
        <f>IFERROR(__xludf.DUMMYFUNCTION("""COMPUTED_VALUE"""),"Total Accounts Receivable Growth
Total Accounts Receivable Growth")</f>
        <v>Total Accounts Receivable Growth
Total Accounts Receivable Growth</v>
      </c>
      <c r="B75" s="75" t="str">
        <f>IFERROR(__xludf.DUMMYFUNCTION("""COMPUTED_VALUE"""),"-")</f>
        <v>-</v>
      </c>
      <c r="C75" s="74">
        <f>IFERROR(__xludf.DUMMYFUNCTION("""COMPUTED_VALUE"""),0.5431)</f>
        <v>0.5431</v>
      </c>
      <c r="D75" s="74">
        <f>IFERROR(__xludf.DUMMYFUNCTION("""COMPUTED_VALUE"""),0.1883)</f>
        <v>0.1883</v>
      </c>
      <c r="E75" s="74">
        <f>IFERROR(__xludf.DUMMYFUNCTION("""COMPUTED_VALUE"""),0.2594)</f>
        <v>0.2594</v>
      </c>
      <c r="F75" s="74">
        <f>IFERROR(__xludf.DUMMYFUNCTION("""COMPUTED_VALUE"""),0.0652)</f>
        <v>0.0652</v>
      </c>
      <c r="G75" s="75"/>
    </row>
    <row r="76">
      <c r="A76" s="155" t="str">
        <f>IFERROR(__xludf.DUMMYFUNCTION("""COMPUTED_VALUE"""),"Accounts Receivables, Net
Accounts Receivables, Net")</f>
        <v>Accounts Receivables, Net
Accounts Receivables, Net</v>
      </c>
      <c r="B76" s="75" t="str">
        <f>IFERROR(__xludf.DUMMYFUNCTION("""COMPUTED_VALUE"""),"1.91B")</f>
        <v>1.91B</v>
      </c>
      <c r="C76" s="75" t="str">
        <f>IFERROR(__xludf.DUMMYFUNCTION("""COMPUTED_VALUE"""),"2.95B")</f>
        <v>2.95B</v>
      </c>
      <c r="D76" s="75" t="str">
        <f>IFERROR(__xludf.DUMMYFUNCTION("""COMPUTED_VALUE"""),"3.51B")</f>
        <v>3.51B</v>
      </c>
      <c r="E76" s="75" t="str">
        <f>IFERROR(__xludf.DUMMYFUNCTION("""COMPUTED_VALUE"""),"4.42B")</f>
        <v>4.42B</v>
      </c>
      <c r="F76" s="75" t="str">
        <f>IFERROR(__xludf.DUMMYFUNCTION("""COMPUTED_VALUE"""),"4.58B")</f>
        <v>4.58B</v>
      </c>
      <c r="G76" s="75"/>
    </row>
    <row r="77">
      <c r="A77" s="155" t="str">
        <f>IFERROR(__xludf.DUMMYFUNCTION("""COMPUTED_VALUE"""),"Accounts Receivables, Gross
Accounts Receivables, Gross")</f>
        <v>Accounts Receivables, Gross
Accounts Receivables, Gross</v>
      </c>
      <c r="B77" s="75" t="str">
        <f>IFERROR(__xludf.DUMMYFUNCTION("""COMPUTED_VALUE"""),"1.91B")</f>
        <v>1.91B</v>
      </c>
      <c r="C77" s="75" t="str">
        <f>IFERROR(__xludf.DUMMYFUNCTION("""COMPUTED_VALUE"""),"2.95B")</f>
        <v>2.95B</v>
      </c>
      <c r="D77" s="75" t="str">
        <f>IFERROR(__xludf.DUMMYFUNCTION("""COMPUTED_VALUE"""),"3.51B")</f>
        <v>3.51B</v>
      </c>
      <c r="E77" s="75" t="str">
        <f>IFERROR(__xludf.DUMMYFUNCTION("""COMPUTED_VALUE"""),"4.42B")</f>
        <v>4.42B</v>
      </c>
      <c r="F77" s="75" t="str">
        <f>IFERROR(__xludf.DUMMYFUNCTION("""COMPUTED_VALUE"""),"4.58B")</f>
        <v>4.58B</v>
      </c>
      <c r="G77" s="75"/>
    </row>
    <row r="78">
      <c r="A78" s="155" t="str">
        <f>IFERROR(__xludf.DUMMYFUNCTION("""COMPUTED_VALUE"""),"Bad Debt/Doubtful Accounts
Bad Debt/Doubtful Accounts")</f>
        <v>Bad Debt/Doubtful Accounts
Bad Debt/Doubtful Accounts</v>
      </c>
      <c r="B78" s="75" t="str">
        <f>IFERROR(__xludf.DUMMYFUNCTION("""COMPUTED_VALUE"""),"-")</f>
        <v>-</v>
      </c>
      <c r="C78" s="75" t="str">
        <f>IFERROR(__xludf.DUMMYFUNCTION("""COMPUTED_VALUE"""),"-")</f>
        <v>-</v>
      </c>
      <c r="D78" s="75" t="str">
        <f>IFERROR(__xludf.DUMMYFUNCTION("""COMPUTED_VALUE"""),"-")</f>
        <v>-</v>
      </c>
      <c r="E78" s="75" t="str">
        <f>IFERROR(__xludf.DUMMYFUNCTION("""COMPUTED_VALUE"""),"-")</f>
        <v>-</v>
      </c>
      <c r="F78" s="75" t="str">
        <f>IFERROR(__xludf.DUMMYFUNCTION("""COMPUTED_VALUE"""),"-")</f>
        <v>-</v>
      </c>
      <c r="G78" s="75"/>
    </row>
    <row r="79">
      <c r="A79" s="155" t="str">
        <f>IFERROR(__xludf.DUMMYFUNCTION("""COMPUTED_VALUE"""),"Other Receivable
Other Receivable")</f>
        <v>Other Receivable
Other Receivable</v>
      </c>
      <c r="B79" s="75" t="str">
        <f>IFERROR(__xludf.DUMMYFUNCTION("""COMPUTED_VALUE"""),"-")</f>
        <v>-</v>
      </c>
      <c r="C79" s="75" t="str">
        <f>IFERROR(__xludf.DUMMYFUNCTION("""COMPUTED_VALUE"""),"-")</f>
        <v>-</v>
      </c>
      <c r="D79" s="75" t="str">
        <f>IFERROR(__xludf.DUMMYFUNCTION("""COMPUTED_VALUE"""),"-")</f>
        <v>-</v>
      </c>
      <c r="E79" s="75" t="str">
        <f>IFERROR(__xludf.DUMMYFUNCTION("""COMPUTED_VALUE"""),"-")</f>
        <v>-</v>
      </c>
      <c r="F79" s="75" t="str">
        <f>IFERROR(__xludf.DUMMYFUNCTION("""COMPUTED_VALUE"""),"130M")</f>
        <v>130M</v>
      </c>
      <c r="G79" s="75"/>
    </row>
    <row r="80">
      <c r="A80" s="155" t="str">
        <f>IFERROR(__xludf.DUMMYFUNCTION("""COMPUTED_VALUE"""),"Accounts Receivable Turnover
Accounts Receivable Turnover")</f>
        <v>Accounts Receivable Turnover
Accounts Receivable Turnover</v>
      </c>
      <c r="B80" s="75">
        <f>IFERROR(__xludf.DUMMYFUNCTION("""COMPUTED_VALUE"""),28.14)</f>
        <v>28.14</v>
      </c>
      <c r="C80" s="75">
        <f>IFERROR(__xludf.DUMMYFUNCTION("""COMPUTED_VALUE"""),27.6)</f>
        <v>27.6</v>
      </c>
      <c r="D80" s="75">
        <f>IFERROR(__xludf.DUMMYFUNCTION("""COMPUTED_VALUE"""),27.59)</f>
        <v>27.59</v>
      </c>
      <c r="E80" s="75">
        <f>IFERROR(__xludf.DUMMYFUNCTION("""COMPUTED_VALUE"""),22.11)</f>
        <v>22.11</v>
      </c>
      <c r="F80" s="75">
        <f>IFERROR(__xludf.DUMMYFUNCTION("""COMPUTED_VALUE"""),20.15)</f>
        <v>20.15</v>
      </c>
      <c r="G80" s="75"/>
    </row>
    <row r="81">
      <c r="A81" s="155" t="str">
        <f>IFERROR(__xludf.DUMMYFUNCTION("""COMPUTED_VALUE"""),"Inventories
Inventories")</f>
        <v>Inventories
Inventories</v>
      </c>
      <c r="B81" s="75" t="str">
        <f>IFERROR(__xludf.DUMMYFUNCTION("""COMPUTED_VALUE"""),"5.76B")</f>
        <v>5.76B</v>
      </c>
      <c r="C81" s="75" t="str">
        <f>IFERROR(__xludf.DUMMYFUNCTION("""COMPUTED_VALUE"""),"12.84B")</f>
        <v>12.84B</v>
      </c>
      <c r="D81" s="75" t="str">
        <f>IFERROR(__xludf.DUMMYFUNCTION("""COMPUTED_VALUE"""),"13.63B")</f>
        <v>13.63B</v>
      </c>
      <c r="E81" s="75" t="str">
        <f>IFERROR(__xludf.DUMMYFUNCTION("""COMPUTED_VALUE"""),"12.02B")</f>
        <v>12.02B</v>
      </c>
      <c r="F81" s="75" t="str">
        <f>IFERROR(__xludf.DUMMYFUNCTION("""COMPUTED_VALUE"""),"12.39B")</f>
        <v>12.39B</v>
      </c>
      <c r="G81" s="75"/>
    </row>
    <row r="82">
      <c r="A82" s="155" t="str">
        <f>IFERROR(__xludf.DUMMYFUNCTION("""COMPUTED_VALUE"""),"Finished Goods
Finished Goods")</f>
        <v>Finished Goods
Finished Goods</v>
      </c>
      <c r="B82" s="75" t="str">
        <f>IFERROR(__xludf.DUMMYFUNCTION("""COMPUTED_VALUE"""),"1.28B")</f>
        <v>1.28B</v>
      </c>
      <c r="C82" s="75" t="str">
        <f>IFERROR(__xludf.DUMMYFUNCTION("""COMPUTED_VALUE"""),"3.48B")</f>
        <v>3.48B</v>
      </c>
      <c r="D82" s="75" t="str">
        <f>IFERROR(__xludf.DUMMYFUNCTION("""COMPUTED_VALUE"""),"5.05B")</f>
        <v>5.05B</v>
      </c>
      <c r="E82" s="75" t="str">
        <f>IFERROR(__xludf.DUMMYFUNCTION("""COMPUTED_VALUE"""),"3.94B")</f>
        <v>3.94B</v>
      </c>
      <c r="F82" s="75" t="str">
        <f>IFERROR(__xludf.DUMMYFUNCTION("""COMPUTED_VALUE"""),"4.85B")</f>
        <v>4.85B</v>
      </c>
      <c r="G82" s="75"/>
    </row>
    <row r="83">
      <c r="A83" s="155" t="str">
        <f>IFERROR(__xludf.DUMMYFUNCTION("""COMPUTED_VALUE"""),"Work in Progress
Work in Progress")</f>
        <v>Work in Progress
Work in Progress</v>
      </c>
      <c r="B83" s="75" t="str">
        <f>IFERROR(__xludf.DUMMYFUNCTION("""COMPUTED_VALUE"""),"1.09B")</f>
        <v>1.09B</v>
      </c>
      <c r="C83" s="75" t="str">
        <f>IFERROR(__xludf.DUMMYFUNCTION("""COMPUTED_VALUE"""),"2.39B")</f>
        <v>2.39B</v>
      </c>
      <c r="D83" s="75" t="str">
        <f>IFERROR(__xludf.DUMMYFUNCTION("""COMPUTED_VALUE"""),"2.02B")</f>
        <v>2.02B</v>
      </c>
      <c r="E83" s="75" t="str">
        <f>IFERROR(__xludf.DUMMYFUNCTION("""COMPUTED_VALUE"""),"1.53B")</f>
        <v>1.53B</v>
      </c>
      <c r="F83" s="75" t="str">
        <f>IFERROR(__xludf.DUMMYFUNCTION("""COMPUTED_VALUE"""),"1.73B")</f>
        <v>1.73B</v>
      </c>
      <c r="G83" s="75"/>
    </row>
    <row r="84">
      <c r="A84" s="155" t="str">
        <f>IFERROR(__xludf.DUMMYFUNCTION("""COMPUTED_VALUE"""),"Raw Materials
Raw Materials")</f>
        <v>Raw Materials
Raw Materials</v>
      </c>
      <c r="B84" s="75" t="str">
        <f>IFERROR(__xludf.DUMMYFUNCTION("""COMPUTED_VALUE"""),"3.39B")</f>
        <v>3.39B</v>
      </c>
      <c r="C84" s="75" t="str">
        <f>IFERROR(__xludf.DUMMYFUNCTION("""COMPUTED_VALUE"""),"6.98B")</f>
        <v>6.98B</v>
      </c>
      <c r="D84" s="75" t="str">
        <f>IFERROR(__xludf.DUMMYFUNCTION("""COMPUTED_VALUE"""),"6.56B")</f>
        <v>6.56B</v>
      </c>
      <c r="E84" s="75" t="str">
        <f>IFERROR(__xludf.DUMMYFUNCTION("""COMPUTED_VALUE"""),"6.55B")</f>
        <v>6.55B</v>
      </c>
      <c r="F84" s="75" t="str">
        <f>IFERROR(__xludf.DUMMYFUNCTION("""COMPUTED_VALUE"""),"5.82B")</f>
        <v>5.82B</v>
      </c>
      <c r="G84" s="75"/>
    </row>
    <row r="85">
      <c r="A85" s="155" t="str">
        <f>IFERROR(__xludf.DUMMYFUNCTION("""COMPUTED_VALUE"""),"Progress Payments &amp; Other
Progress Payments &amp; Other")</f>
        <v>Progress Payments &amp; Other
Progress Payments &amp; Other</v>
      </c>
      <c r="B85" s="75" t="str">
        <f>IFERROR(__xludf.DUMMYFUNCTION("""COMPUTED_VALUE"""),"-")</f>
        <v>-</v>
      </c>
      <c r="C85" s="75" t="str">
        <f>IFERROR(__xludf.DUMMYFUNCTION("""COMPUTED_VALUE"""),"-")</f>
        <v>-</v>
      </c>
      <c r="D85" s="75" t="str">
        <f>IFERROR(__xludf.DUMMYFUNCTION("""COMPUTED_VALUE"""),"-")</f>
        <v>-</v>
      </c>
      <c r="E85" s="75" t="str">
        <f>IFERROR(__xludf.DUMMYFUNCTION("""COMPUTED_VALUE"""),"-")</f>
        <v>-</v>
      </c>
      <c r="F85" s="75" t="str">
        <f>IFERROR(__xludf.DUMMYFUNCTION("""COMPUTED_VALUE"""),"-")</f>
        <v>-</v>
      </c>
      <c r="G85" s="75"/>
    </row>
    <row r="86">
      <c r="A86" s="155" t="str">
        <f>IFERROR(__xludf.DUMMYFUNCTION("""COMPUTED_VALUE"""),"Other Current Assets
Other Current Assets")</f>
        <v>Other Current Assets
Other Current Assets</v>
      </c>
      <c r="B86" s="75" t="str">
        <f>IFERROR(__xludf.DUMMYFUNCTION("""COMPUTED_VALUE"""),"1.38B")</f>
        <v>1.38B</v>
      </c>
      <c r="C86" s="75" t="str">
        <f>IFERROR(__xludf.DUMMYFUNCTION("""COMPUTED_VALUE"""),"2.65B")</f>
        <v>2.65B</v>
      </c>
      <c r="D86" s="75" t="str">
        <f>IFERROR(__xludf.DUMMYFUNCTION("""COMPUTED_VALUE"""),"2.85B")</f>
        <v>2.85B</v>
      </c>
      <c r="E86" s="75" t="str">
        <f>IFERROR(__xludf.DUMMYFUNCTION("""COMPUTED_VALUE"""),"4.87B")</f>
        <v>4.87B</v>
      </c>
      <c r="F86" s="75" t="str">
        <f>IFERROR(__xludf.DUMMYFUNCTION("""COMPUTED_VALUE"""),"7.1B")</f>
        <v>7.1B</v>
      </c>
      <c r="G86" s="75"/>
    </row>
    <row r="87">
      <c r="A87" s="155" t="str">
        <f>IFERROR(__xludf.DUMMYFUNCTION("""COMPUTED_VALUE"""),"Miscellaneous Current Assets
Miscellaneous Current Assets")</f>
        <v>Miscellaneous Current Assets
Miscellaneous Current Assets</v>
      </c>
      <c r="B87" s="75" t="str">
        <f>IFERROR(__xludf.DUMMYFUNCTION("""COMPUTED_VALUE"""),"1.38B")</f>
        <v>1.38B</v>
      </c>
      <c r="C87" s="75" t="str">
        <f>IFERROR(__xludf.DUMMYFUNCTION("""COMPUTED_VALUE"""),"2.65B")</f>
        <v>2.65B</v>
      </c>
      <c r="D87" s="75" t="str">
        <f>IFERROR(__xludf.DUMMYFUNCTION("""COMPUTED_VALUE"""),"2.85B")</f>
        <v>2.85B</v>
      </c>
      <c r="E87" s="75" t="str">
        <f>IFERROR(__xludf.DUMMYFUNCTION("""COMPUTED_VALUE"""),"4.87B")</f>
        <v>4.87B</v>
      </c>
      <c r="F87" s="75" t="str">
        <f>IFERROR(__xludf.DUMMYFUNCTION("""COMPUTED_VALUE"""),"7.1B")</f>
        <v>7.1B</v>
      </c>
      <c r="G87" s="75"/>
    </row>
    <row r="88">
      <c r="A88" s="155" t="str">
        <f>IFERROR(__xludf.DUMMYFUNCTION("""COMPUTED_VALUE"""),"Total Current Assets
Total Current Assets")</f>
        <v>Total Current Assets
Total Current Assets</v>
      </c>
      <c r="B88" s="75" t="str">
        <f>IFERROR(__xludf.DUMMYFUNCTION("""COMPUTED_VALUE"""),"27.1B")</f>
        <v>27.1B</v>
      </c>
      <c r="C88" s="75" t="str">
        <f>IFERROR(__xludf.DUMMYFUNCTION("""COMPUTED_VALUE"""),"40.92B")</f>
        <v>40.92B</v>
      </c>
      <c r="D88" s="75" t="str">
        <f>IFERROR(__xludf.DUMMYFUNCTION("""COMPUTED_VALUE"""),"49.62B")</f>
        <v>49.62B</v>
      </c>
      <c r="E88" s="75" t="str">
        <f>IFERROR(__xludf.DUMMYFUNCTION("""COMPUTED_VALUE"""),"58.36B")</f>
        <v>58.36B</v>
      </c>
      <c r="F88" s="75" t="str">
        <f>IFERROR(__xludf.DUMMYFUNCTION("""COMPUTED_VALUE"""),"68.64B")</f>
        <v>68.64B</v>
      </c>
      <c r="G88" s="75"/>
    </row>
    <row r="89">
      <c r="A89" s="155" t="str">
        <f>IFERROR(__xludf.DUMMYFUNCTION("""COMPUTED_VALUE"""),"Net Property, Plant &amp; Equipment
Net Property, Plant &amp; Equipment")</f>
        <v>Net Property, Plant &amp; Equipment
Net Property, Plant &amp; Equipment</v>
      </c>
      <c r="B89" s="75" t="str">
        <f>IFERROR(__xludf.DUMMYFUNCTION("""COMPUTED_VALUE"""),"31.18B")</f>
        <v>31.18B</v>
      </c>
      <c r="C89" s="75" t="str">
        <f>IFERROR(__xludf.DUMMYFUNCTION("""COMPUTED_VALUE"""),"36.64B")</f>
        <v>36.64B</v>
      </c>
      <c r="D89" s="75" t="str">
        <f>IFERROR(__xludf.DUMMYFUNCTION("""COMPUTED_VALUE"""),"45.12B")</f>
        <v>45.12B</v>
      </c>
      <c r="E89" s="75" t="str">
        <f>IFERROR(__xludf.DUMMYFUNCTION("""COMPUTED_VALUE"""),"51.5B")</f>
        <v>51.5B</v>
      </c>
      <c r="F89" s="75" t="str">
        <f>IFERROR(__xludf.DUMMYFUNCTION("""COMPUTED_VALUE"""),"56.19B")</f>
        <v>56.19B</v>
      </c>
      <c r="G89" s="75"/>
    </row>
    <row r="90">
      <c r="A90" s="155" t="str">
        <f>IFERROR(__xludf.DUMMYFUNCTION("""COMPUTED_VALUE"""),"Property, Plant &amp; Equipment - Gross
Property, Plant &amp; Equipment - Gross")</f>
        <v>Property, Plant &amp; Equipment - Gross
Property, Plant &amp; Equipment - Gross</v>
      </c>
      <c r="B90" s="75" t="str">
        <f>IFERROR(__xludf.DUMMYFUNCTION("""COMPUTED_VALUE"""),"39.87B")</f>
        <v>39.87B</v>
      </c>
      <c r="C90" s="75" t="str">
        <f>IFERROR(__xludf.DUMMYFUNCTION("""COMPUTED_VALUE"""),"48.13B")</f>
        <v>48.13B</v>
      </c>
      <c r="D90" s="75" t="str">
        <f>IFERROR(__xludf.DUMMYFUNCTION("""COMPUTED_VALUE"""),"60.2B")</f>
        <v>60.2B</v>
      </c>
      <c r="E90" s="75" t="str">
        <f>IFERROR(__xludf.DUMMYFUNCTION("""COMPUTED_VALUE"""),"70.4B")</f>
        <v>70.4B</v>
      </c>
      <c r="F90" s="75" t="str">
        <f>IFERROR(__xludf.DUMMYFUNCTION("""COMPUTED_VALUE"""),"79.63B")</f>
        <v>79.63B</v>
      </c>
      <c r="G90" s="75"/>
    </row>
    <row r="91">
      <c r="A91" s="155" t="str">
        <f>IFERROR(__xludf.DUMMYFUNCTION("""COMPUTED_VALUE"""),"Buildings
Buildings")</f>
        <v>Buildings
Buildings</v>
      </c>
      <c r="B91" s="75" t="str">
        <f>IFERROR(__xludf.DUMMYFUNCTION("""COMPUTED_VALUE"""),"4.68B")</f>
        <v>4.68B</v>
      </c>
      <c r="C91" s="75" t="str">
        <f>IFERROR(__xludf.DUMMYFUNCTION("""COMPUTED_VALUE"""),"7.75B")</f>
        <v>7.75B</v>
      </c>
      <c r="D91" s="75" t="str">
        <f>IFERROR(__xludf.DUMMYFUNCTION("""COMPUTED_VALUE"""),"9.51B")</f>
        <v>9.51B</v>
      </c>
      <c r="E91" s="75" t="str">
        <f>IFERROR(__xludf.DUMMYFUNCTION("""COMPUTED_VALUE"""),"10.68B")</f>
        <v>10.68B</v>
      </c>
      <c r="F91" s="75" t="str">
        <f>IFERROR(__xludf.DUMMYFUNCTION("""COMPUTED_VALUE"""),"11.84B")</f>
        <v>11.84B</v>
      </c>
      <c r="G91" s="75"/>
    </row>
    <row r="92">
      <c r="A92" s="155" t="str">
        <f>IFERROR(__xludf.DUMMYFUNCTION("""COMPUTED_VALUE"""),"Land &amp; Improvements
Land &amp; Improvements")</f>
        <v>Land &amp; Improvements
Land &amp; Improvements</v>
      </c>
      <c r="B92" s="75" t="str">
        <f>IFERROR(__xludf.DUMMYFUNCTION("""COMPUTED_VALUE"""),"-")</f>
        <v>-</v>
      </c>
      <c r="C92" s="75" t="str">
        <f>IFERROR(__xludf.DUMMYFUNCTION("""COMPUTED_VALUE"""),"-")</f>
        <v>-</v>
      </c>
      <c r="D92" s="75" t="str">
        <f>IFERROR(__xludf.DUMMYFUNCTION("""COMPUTED_VALUE"""),"-")</f>
        <v>-</v>
      </c>
      <c r="E92" s="75" t="str">
        <f>IFERROR(__xludf.DUMMYFUNCTION("""COMPUTED_VALUE"""),"-")</f>
        <v>-</v>
      </c>
      <c r="F92" s="75" t="str">
        <f>IFERROR(__xludf.DUMMYFUNCTION("""COMPUTED_VALUE"""),"-")</f>
        <v>-</v>
      </c>
      <c r="G92" s="75"/>
    </row>
    <row r="93">
      <c r="A93" s="155" t="str">
        <f>IFERROR(__xludf.DUMMYFUNCTION("""COMPUTED_VALUE"""),"Computer Software and Equipment
Computer Software and Equipment")</f>
        <v>Computer Software and Equipment
Computer Software and Equipment</v>
      </c>
      <c r="B93" s="75" t="str">
        <f>IFERROR(__xludf.DUMMYFUNCTION("""COMPUTED_VALUE"""),"1.41B")</f>
        <v>1.41B</v>
      </c>
      <c r="C93" s="75" t="str">
        <f>IFERROR(__xludf.DUMMYFUNCTION("""COMPUTED_VALUE"""),"2.07B")</f>
        <v>2.07B</v>
      </c>
      <c r="D93" s="75" t="str">
        <f>IFERROR(__xludf.DUMMYFUNCTION("""COMPUTED_VALUE"""),"3.8B")</f>
        <v>3.8B</v>
      </c>
      <c r="E93" s="75" t="str">
        <f>IFERROR(__xludf.DUMMYFUNCTION("""COMPUTED_VALUE"""),"2.9B")</f>
        <v>2.9B</v>
      </c>
      <c r="F93" s="75" t="str">
        <f>IFERROR(__xludf.DUMMYFUNCTION("""COMPUTED_VALUE"""),"3.21B")</f>
        <v>3.21B</v>
      </c>
      <c r="G93" s="75"/>
    </row>
    <row r="94">
      <c r="A94" s="155" t="str">
        <f>IFERROR(__xludf.DUMMYFUNCTION("""COMPUTED_VALUE"""),"Other Property, Plant &amp; Equipment
Other Property, Plant &amp; Equipment")</f>
        <v>Other Property, Plant &amp; Equipment
Other Property, Plant &amp; Equipment</v>
      </c>
      <c r="B94" s="75" t="str">
        <f>IFERROR(__xludf.DUMMYFUNCTION("""COMPUTED_VALUE"""),"18.73B")</f>
        <v>18.73B</v>
      </c>
      <c r="C94" s="75" t="str">
        <f>IFERROR(__xludf.DUMMYFUNCTION("""COMPUTED_VALUE"""),"22.83B")</f>
        <v>22.83B</v>
      </c>
      <c r="D94" s="75" t="str">
        <f>IFERROR(__xludf.DUMMYFUNCTION("""COMPUTED_VALUE"""),"26.41B")</f>
        <v>26.41B</v>
      </c>
      <c r="E94" s="75" t="str">
        <f>IFERROR(__xludf.DUMMYFUNCTION("""COMPUTED_VALUE"""),"33.96B")</f>
        <v>33.96B</v>
      </c>
      <c r="F94" s="75" t="str">
        <f>IFERROR(__xludf.DUMMYFUNCTION("""COMPUTED_VALUE"""),"38.78B")</f>
        <v>38.78B</v>
      </c>
      <c r="G94" s="75"/>
    </row>
    <row r="95">
      <c r="A95" s="155" t="str">
        <f>IFERROR(__xludf.DUMMYFUNCTION("""COMPUTED_VALUE"""),"Accumulated Depreciation
Accumulated Depreciation")</f>
        <v>Accumulated Depreciation
Accumulated Depreciation</v>
      </c>
      <c r="B95" s="75" t="str">
        <f>IFERROR(__xludf.DUMMYFUNCTION("""COMPUTED_VALUE"""),"8.69B")</f>
        <v>8.69B</v>
      </c>
      <c r="C95" s="75" t="str">
        <f>IFERROR(__xludf.DUMMYFUNCTION("""COMPUTED_VALUE"""),"11.5B")</f>
        <v>11.5B</v>
      </c>
      <c r="D95" s="75" t="str">
        <f>IFERROR(__xludf.DUMMYFUNCTION("""COMPUTED_VALUE"""),"15.08B")</f>
        <v>15.08B</v>
      </c>
      <c r="E95" s="75" t="str">
        <f>IFERROR(__xludf.DUMMYFUNCTION("""COMPUTED_VALUE"""),"18.9B")</f>
        <v>18.9B</v>
      </c>
      <c r="F95" s="75" t="str">
        <f>IFERROR(__xludf.DUMMYFUNCTION("""COMPUTED_VALUE"""),"23.44B")</f>
        <v>23.44B</v>
      </c>
      <c r="G95" s="75"/>
    </row>
    <row r="96">
      <c r="A96" s="75" t="str">
        <f>IFERROR(__xludf.DUMMYFUNCTION("""COMPUTED_VALUE"""),"Total Investments and Advances
Total Investments and Advances")</f>
        <v>Total Investments and Advances
Total Investments and Advances</v>
      </c>
      <c r="B96" s="75" t="str">
        <f>IFERROR(__xludf.DUMMYFUNCTION("""COMPUTED_VALUE"""),"223M")</f>
        <v>223M</v>
      </c>
      <c r="C96" s="75" t="str">
        <f>IFERROR(__xludf.DUMMYFUNCTION("""COMPUTED_VALUE"""),"377M")</f>
        <v>377M</v>
      </c>
      <c r="D96" s="75" t="str">
        <f>IFERROR(__xludf.DUMMYFUNCTION("""COMPUTED_VALUE"""),"248M")</f>
        <v>248M</v>
      </c>
      <c r="E96" s="75" t="str">
        <f>IFERROR(__xludf.DUMMYFUNCTION("""COMPUTED_VALUE"""),"404M")</f>
        <v>404M</v>
      </c>
      <c r="F96" s="75" t="str">
        <f>IFERROR(__xludf.DUMMYFUNCTION("""COMPUTED_VALUE"""),"714M")</f>
        <v>714M</v>
      </c>
      <c r="G96" s="75"/>
    </row>
    <row r="97">
      <c r="A97" s="75" t="str">
        <f>IFERROR(__xludf.DUMMYFUNCTION("""COMPUTED_VALUE"""),"Other Long-Term Investments
Other Long-Term Investments")</f>
        <v>Other Long-Term Investments
Other Long-Term Investments</v>
      </c>
      <c r="B97" s="75" t="str">
        <f>IFERROR(__xludf.DUMMYFUNCTION("""COMPUTED_VALUE"""),"223M")</f>
        <v>223M</v>
      </c>
      <c r="C97" s="75" t="str">
        <f>IFERROR(__xludf.DUMMYFUNCTION("""COMPUTED_VALUE"""),"377M")</f>
        <v>377M</v>
      </c>
      <c r="D97" s="75" t="str">
        <f>IFERROR(__xludf.DUMMYFUNCTION("""COMPUTED_VALUE"""),"248M")</f>
        <v>248M</v>
      </c>
      <c r="E97" s="75" t="str">
        <f>IFERROR(__xludf.DUMMYFUNCTION("""COMPUTED_VALUE"""),"404M")</f>
        <v>404M</v>
      </c>
      <c r="F97" s="75" t="str">
        <f>IFERROR(__xludf.DUMMYFUNCTION("""COMPUTED_VALUE"""),"714M")</f>
        <v>714M</v>
      </c>
      <c r="G97" s="75"/>
    </row>
    <row r="98">
      <c r="A98" s="75" t="str">
        <f>IFERROR(__xludf.DUMMYFUNCTION("""COMPUTED_VALUE"""),"Long-Term Note Receivables
Long-Term Note Receivables")</f>
        <v>Long-Term Note Receivables
Long-Term Note Receivables</v>
      </c>
      <c r="B98" s="75" t="str">
        <f>IFERROR(__xludf.DUMMYFUNCTION("""COMPUTED_VALUE"""),"299M")</f>
        <v>299M</v>
      </c>
      <c r="C98" s="75" t="str">
        <f>IFERROR(__xludf.DUMMYFUNCTION("""COMPUTED_VALUE"""),"280M")</f>
        <v>280M</v>
      </c>
      <c r="D98" s="75" t="str">
        <f>IFERROR(__xludf.DUMMYFUNCTION("""COMPUTED_VALUE"""),"266M")</f>
        <v>266M</v>
      </c>
      <c r="E98" s="75" t="str">
        <f>IFERROR(__xludf.DUMMYFUNCTION("""COMPUTED_VALUE"""),"248M")</f>
        <v>248M</v>
      </c>
      <c r="F98" s="75" t="str">
        <f>IFERROR(__xludf.DUMMYFUNCTION("""COMPUTED_VALUE"""),"1.4B")</f>
        <v>1.4B</v>
      </c>
      <c r="G98" s="75"/>
    </row>
    <row r="99">
      <c r="A99" s="75" t="str">
        <f>IFERROR(__xludf.DUMMYFUNCTION("""COMPUTED_VALUE"""),"Intangible Assets
Intangible Assets")</f>
        <v>Intangible Assets
Intangible Assets</v>
      </c>
      <c r="B99" s="75" t="str">
        <f>IFERROR(__xludf.DUMMYFUNCTION("""COMPUTED_VALUE"""),"1.72B")</f>
        <v>1.72B</v>
      </c>
      <c r="C99" s="75" t="str">
        <f>IFERROR(__xludf.DUMMYFUNCTION("""COMPUTED_VALUE"""),"593M")</f>
        <v>593M</v>
      </c>
      <c r="D99" s="75" t="str">
        <f>IFERROR(__xludf.DUMMYFUNCTION("""COMPUTED_VALUE"""),"615M")</f>
        <v>615M</v>
      </c>
      <c r="E99" s="75" t="str">
        <f>IFERROR(__xludf.DUMMYFUNCTION("""COMPUTED_VALUE"""),"1.47B")</f>
        <v>1.47B</v>
      </c>
      <c r="F99" s="75" t="str">
        <f>IFERROR(__xludf.DUMMYFUNCTION("""COMPUTED_VALUE"""),"1.39B")</f>
        <v>1.39B</v>
      </c>
      <c r="G99" s="75"/>
    </row>
    <row r="100">
      <c r="A100" s="75" t="str">
        <f>IFERROR(__xludf.DUMMYFUNCTION("""COMPUTED_VALUE"""),"Net Goodwill
Net Goodwill")</f>
        <v>Net Goodwill
Net Goodwill</v>
      </c>
      <c r="B100" s="75" t="str">
        <f>IFERROR(__xludf.DUMMYFUNCTION("""COMPUTED_VALUE"""),"200M")</f>
        <v>200M</v>
      </c>
      <c r="C100" s="75" t="str">
        <f>IFERROR(__xludf.DUMMYFUNCTION("""COMPUTED_VALUE"""),"194M")</f>
        <v>194M</v>
      </c>
      <c r="D100" s="75" t="str">
        <f>IFERROR(__xludf.DUMMYFUNCTION("""COMPUTED_VALUE"""),"253M")</f>
        <v>253M</v>
      </c>
      <c r="E100" s="75" t="str">
        <f>IFERROR(__xludf.DUMMYFUNCTION("""COMPUTED_VALUE"""),"244M")</f>
        <v>244M</v>
      </c>
      <c r="F100" s="75" t="str">
        <f>IFERROR(__xludf.DUMMYFUNCTION("""COMPUTED_VALUE"""),"257M")</f>
        <v>257M</v>
      </c>
      <c r="G100" s="75"/>
    </row>
    <row r="101">
      <c r="A101" s="75" t="str">
        <f>IFERROR(__xludf.DUMMYFUNCTION("""COMPUTED_VALUE"""),"Net Other Intangibles
Net Other Intangibles")</f>
        <v>Net Other Intangibles
Net Other Intangibles</v>
      </c>
      <c r="B101" s="75" t="str">
        <f>IFERROR(__xludf.DUMMYFUNCTION("""COMPUTED_VALUE"""),"1.52B")</f>
        <v>1.52B</v>
      </c>
      <c r="C101" s="75" t="str">
        <f>IFERROR(__xludf.DUMMYFUNCTION("""COMPUTED_VALUE"""),"399M")</f>
        <v>399M</v>
      </c>
      <c r="D101" s="75" t="str">
        <f>IFERROR(__xludf.DUMMYFUNCTION("""COMPUTED_VALUE"""),"362M")</f>
        <v>362M</v>
      </c>
      <c r="E101" s="75" t="str">
        <f>IFERROR(__xludf.DUMMYFUNCTION("""COMPUTED_VALUE"""),"1.23B")</f>
        <v>1.23B</v>
      </c>
      <c r="F101" s="75" t="str">
        <f>IFERROR(__xludf.DUMMYFUNCTION("""COMPUTED_VALUE"""),"1.13B")</f>
        <v>1.13B</v>
      </c>
      <c r="G101" s="75"/>
    </row>
    <row r="102">
      <c r="A102" s="75" t="str">
        <f>IFERROR(__xludf.DUMMYFUNCTION("""COMPUTED_VALUE"""),"Other Assets
Other Assets")</f>
        <v>Other Assets
Other Assets</v>
      </c>
      <c r="B102" s="75" t="str">
        <f>IFERROR(__xludf.DUMMYFUNCTION("""COMPUTED_VALUE"""),"1.62B")</f>
        <v>1.62B</v>
      </c>
      <c r="C102" s="75" t="str">
        <f>IFERROR(__xludf.DUMMYFUNCTION("""COMPUTED_VALUE"""),"3.54B")</f>
        <v>3.54B</v>
      </c>
      <c r="D102" s="75" t="str">
        <f>IFERROR(__xludf.DUMMYFUNCTION("""COMPUTED_VALUE"""),"4.02B")</f>
        <v>4.02B</v>
      </c>
      <c r="E102" s="75" t="str">
        <f>IFERROR(__xludf.DUMMYFUNCTION("""COMPUTED_VALUE"""),"3.56B")</f>
        <v>3.56B</v>
      </c>
      <c r="F102" s="75" t="str">
        <f>IFERROR(__xludf.DUMMYFUNCTION("""COMPUTED_VALUE"""),"2.56B")</f>
        <v>2.56B</v>
      </c>
      <c r="G102" s="75"/>
    </row>
    <row r="103">
      <c r="A103" s="75" t="str">
        <f>IFERROR(__xludf.DUMMYFUNCTION("""COMPUTED_VALUE"""),"Total Assets
Total Assets")</f>
        <v>Total Assets
Total Assets</v>
      </c>
      <c r="B103" s="75" t="str">
        <f>IFERROR(__xludf.DUMMYFUNCTION("""COMPUTED_VALUE"""),"62.13B")</f>
        <v>62.13B</v>
      </c>
      <c r="C103" s="75" t="str">
        <f>IFERROR(__xludf.DUMMYFUNCTION("""COMPUTED_VALUE"""),"82.34B")</f>
        <v>82.34B</v>
      </c>
      <c r="D103" s="75" t="str">
        <f>IFERROR(__xludf.DUMMYFUNCTION("""COMPUTED_VALUE"""),"106.62B")</f>
        <v>106.62B</v>
      </c>
      <c r="E103" s="75" t="str">
        <f>IFERROR(__xludf.DUMMYFUNCTION("""COMPUTED_VALUE"""),"122.07B")</f>
        <v>122.07B</v>
      </c>
      <c r="F103" s="75" t="str">
        <f>IFERROR(__xludf.DUMMYFUNCTION("""COMPUTED_VALUE"""),"137.81B")</f>
        <v>137.81B</v>
      </c>
      <c r="G103" s="75"/>
    </row>
    <row r="104">
      <c r="A104" s="75" t="str">
        <f>IFERROR(__xludf.DUMMYFUNCTION("""COMPUTED_VALUE"""),"Total Assets Growth
Total Assets Growth")</f>
        <v>Total Assets Growth
Total Assets Growth</v>
      </c>
      <c r="B104" s="75" t="str">
        <f>IFERROR(__xludf.DUMMYFUNCTION("""COMPUTED_VALUE"""),"-")</f>
        <v>-</v>
      </c>
      <c r="C104" s="74">
        <f>IFERROR(__xludf.DUMMYFUNCTION("""COMPUTED_VALUE"""),0.3252)</f>
        <v>0.3252</v>
      </c>
      <c r="D104" s="74">
        <f>IFERROR(__xludf.DUMMYFUNCTION("""COMPUTED_VALUE"""),0.2949)</f>
        <v>0.2949</v>
      </c>
      <c r="E104" s="74">
        <f>IFERROR(__xludf.DUMMYFUNCTION("""COMPUTED_VALUE"""),0.1449)</f>
        <v>0.1449</v>
      </c>
      <c r="F104" s="74">
        <f>IFERROR(__xludf.DUMMYFUNCTION("""COMPUTED_VALUE"""),0.1289)</f>
        <v>0.1289</v>
      </c>
      <c r="G104" s="75"/>
    </row>
    <row r="111">
      <c r="A111" s="75" t="str">
        <f>IFERROR(__xludf.DUMMYFUNCTION("IMPORTHTML(CONCAT(CONCAT(""https://www.marketwatch.com/investing/stock/"",'Income Statement'!D1),""/financials/cash-flow""),""table"",4)
"),"Item
Item")</f>
        <v>Item
Item</v>
      </c>
      <c r="B111" s="75">
        <f>IFERROR(__xludf.DUMMYFUNCTION("""COMPUTED_VALUE"""),2021.0)</f>
        <v>2021</v>
      </c>
      <c r="C111" s="75">
        <f>IFERROR(__xludf.DUMMYFUNCTION("""COMPUTED_VALUE"""),2022.0)</f>
        <v>2022</v>
      </c>
      <c r="D111" s="75">
        <f>IFERROR(__xludf.DUMMYFUNCTION("""COMPUTED_VALUE"""),2023.0)</f>
        <v>2023</v>
      </c>
      <c r="E111" s="75">
        <f>IFERROR(__xludf.DUMMYFUNCTION("""COMPUTED_VALUE"""),2024.0)</f>
        <v>2024</v>
      </c>
      <c r="F111" s="75">
        <f>IFERROR(__xludf.DUMMYFUNCTION("""COMPUTED_VALUE"""),2025.0)</f>
        <v>2025</v>
      </c>
      <c r="G111" s="75" t="str">
        <f>IFERROR(__xludf.DUMMYFUNCTION("""COMPUTED_VALUE"""),"5-year trend")</f>
        <v>5-year trend</v>
      </c>
    </row>
    <row r="112">
      <c r="A112" s="75" t="str">
        <f>IFERROR(__xludf.DUMMYFUNCTION("""COMPUTED_VALUE"""),"Net Income before Extraordinaries
Net Income before Extraordinaries")</f>
        <v>Net Income before Extraordinaries
Net Income before Extraordinaries</v>
      </c>
      <c r="B112" s="75" t="str">
        <f>IFERROR(__xludf.DUMMYFUNCTION("""COMPUTED_VALUE"""),"5.64B")</f>
        <v>5.64B</v>
      </c>
      <c r="C112" s="75" t="str">
        <f>IFERROR(__xludf.DUMMYFUNCTION("""COMPUTED_VALUE"""),"12.59B")</f>
        <v>12.59B</v>
      </c>
      <c r="D112" s="75" t="str">
        <f>IFERROR(__xludf.DUMMYFUNCTION("""COMPUTED_VALUE"""),"14.97B")</f>
        <v>14.97B</v>
      </c>
      <c r="E112" s="75" t="str">
        <f>IFERROR(__xludf.DUMMYFUNCTION("""COMPUTED_VALUE"""),"7.15B")</f>
        <v>7.15B</v>
      </c>
      <c r="F112" s="75" t="str">
        <f>IFERROR(__xludf.DUMMYFUNCTION("""COMPUTED_VALUE"""),"3.86B")</f>
        <v>3.86B</v>
      </c>
      <c r="G112" s="75"/>
    </row>
    <row r="113">
      <c r="A113" s="75" t="str">
        <f>IFERROR(__xludf.DUMMYFUNCTION("""COMPUTED_VALUE"""),"Net Income Growth
Net Income Growth")</f>
        <v>Net Income Growth
Net Income Growth</v>
      </c>
      <c r="B113" s="75" t="str">
        <f>IFERROR(__xludf.DUMMYFUNCTION("""COMPUTED_VALUE"""),"-")</f>
        <v>-</v>
      </c>
      <c r="C113" s="74">
        <f>IFERROR(__xludf.DUMMYFUNCTION("""COMPUTED_VALUE"""),1.2302)</f>
        <v>1.2302</v>
      </c>
      <c r="D113" s="74">
        <f>IFERROR(__xludf.DUMMYFUNCTION("""COMPUTED_VALUE"""),0.1896)</f>
        <v>0.1896</v>
      </c>
      <c r="E113" s="74">
        <f>IFERROR(__xludf.DUMMYFUNCTION("""COMPUTED_VALUE"""),-0.5223)</f>
        <v>-0.5223</v>
      </c>
      <c r="F113" s="74">
        <f>IFERROR(__xludf.DUMMYFUNCTION("""COMPUTED_VALUE"""),-0.4611)</f>
        <v>-0.4611</v>
      </c>
      <c r="G113" s="75"/>
    </row>
    <row r="114">
      <c r="A114" s="75" t="str">
        <f>IFERROR(__xludf.DUMMYFUNCTION("""COMPUTED_VALUE"""),"Depreciation, Depletion &amp; Amortization
Depreciation, Depletion &amp; Amortization")</f>
        <v>Depreciation, Depletion &amp; Amortization
Depreciation, Depletion &amp; Amortization</v>
      </c>
      <c r="B114" s="75" t="str">
        <f>IFERROR(__xludf.DUMMYFUNCTION("""COMPUTED_VALUE"""),"2.91B")</f>
        <v>2.91B</v>
      </c>
      <c r="C114" s="75" t="str">
        <f>IFERROR(__xludf.DUMMYFUNCTION("""COMPUTED_VALUE"""),"3.75B")</f>
        <v>3.75B</v>
      </c>
      <c r="D114" s="75" t="str">
        <f>IFERROR(__xludf.DUMMYFUNCTION("""COMPUTED_VALUE"""),"4.67B")</f>
        <v>4.67B</v>
      </c>
      <c r="E114" s="75" t="str">
        <f>IFERROR(__xludf.DUMMYFUNCTION("""COMPUTED_VALUE"""),"5.37B")</f>
        <v>5.37B</v>
      </c>
      <c r="F114" s="75" t="str">
        <f>IFERROR(__xludf.DUMMYFUNCTION("""COMPUTED_VALUE"""),"6.15B")</f>
        <v>6.15B</v>
      </c>
      <c r="G114" s="75"/>
    </row>
    <row r="115">
      <c r="A115" s="75" t="str">
        <f>IFERROR(__xludf.DUMMYFUNCTION("""COMPUTED_VALUE"""),"Depreciation and Depletion
Depreciation and Depletion")</f>
        <v>Depreciation and Depletion
Depreciation and Depletion</v>
      </c>
      <c r="B115" s="75" t="str">
        <f>IFERROR(__xludf.DUMMYFUNCTION("""COMPUTED_VALUE"""),"1.91B")</f>
        <v>1.91B</v>
      </c>
      <c r="C115" s="75" t="str">
        <f>IFERROR(__xludf.DUMMYFUNCTION("""COMPUTED_VALUE"""),"2.42B")</f>
        <v>2.42B</v>
      </c>
      <c r="D115" s="75" t="str">
        <f>IFERROR(__xludf.DUMMYFUNCTION("""COMPUTED_VALUE"""),"3.33B")</f>
        <v>3.33B</v>
      </c>
      <c r="E115" s="75" t="str">
        <f>IFERROR(__xludf.DUMMYFUNCTION("""COMPUTED_VALUE"""),"4.12B")</f>
        <v>4.12B</v>
      </c>
      <c r="F115" s="75" t="str">
        <f>IFERROR(__xludf.DUMMYFUNCTION("""COMPUTED_VALUE"""),"5.03B")</f>
        <v>5.03B</v>
      </c>
      <c r="G115" s="75"/>
    </row>
    <row r="116">
      <c r="A116" s="75" t="str">
        <f>IFERROR(__xludf.DUMMYFUNCTION("""COMPUTED_VALUE"""),"Amortization of Intangible Assets
Amortization of Intangible Assets")</f>
        <v>Amortization of Intangible Assets
Amortization of Intangible Assets</v>
      </c>
      <c r="B116" s="75" t="str">
        <f>IFERROR(__xludf.DUMMYFUNCTION("""COMPUTED_VALUE"""),"1B")</f>
        <v>1B</v>
      </c>
      <c r="C116" s="75" t="str">
        <f>IFERROR(__xludf.DUMMYFUNCTION("""COMPUTED_VALUE"""),"1.33B")</f>
        <v>1.33B</v>
      </c>
      <c r="D116" s="75" t="str">
        <f>IFERROR(__xludf.DUMMYFUNCTION("""COMPUTED_VALUE"""),"1.34B")</f>
        <v>1.34B</v>
      </c>
      <c r="E116" s="75" t="str">
        <f>IFERROR(__xludf.DUMMYFUNCTION("""COMPUTED_VALUE"""),"1.25B")</f>
        <v>1.25B</v>
      </c>
      <c r="F116" s="75" t="str">
        <f>IFERROR(__xludf.DUMMYFUNCTION("""COMPUTED_VALUE"""),"1.12B")</f>
        <v>1.12B</v>
      </c>
      <c r="G116" s="75"/>
    </row>
    <row r="117">
      <c r="A117" s="75" t="str">
        <f>IFERROR(__xludf.DUMMYFUNCTION("""COMPUTED_VALUE"""),"Deferred Taxes &amp; Investment Tax Credit
Deferred Taxes &amp; Investment Tax Credit")</f>
        <v>Deferred Taxes &amp; Investment Tax Credit
Deferred Taxes &amp; Investment Tax Credit</v>
      </c>
      <c r="B117" s="75" t="str">
        <f>IFERROR(__xludf.DUMMYFUNCTION("""COMPUTED_VALUE"""),"-")</f>
        <v>-</v>
      </c>
      <c r="C117" s="75" t="str">
        <f>IFERROR(__xludf.DUMMYFUNCTION("""COMPUTED_VALUE"""),"-")</f>
        <v>-</v>
      </c>
      <c r="D117" s="75" t="str">
        <f>IFERROR(__xludf.DUMMYFUNCTION("""COMPUTED_VALUE"""),"(6.35B)")</f>
        <v>(6.35B)</v>
      </c>
      <c r="E117" s="75" t="str">
        <f>IFERROR(__xludf.DUMMYFUNCTION("""COMPUTED_VALUE"""),"477M")</f>
        <v>477M</v>
      </c>
      <c r="F117" s="75" t="str">
        <f>IFERROR(__xludf.DUMMYFUNCTION("""COMPUTED_VALUE"""),"123M")</f>
        <v>123M</v>
      </c>
      <c r="G117" s="75"/>
    </row>
    <row r="118">
      <c r="A118" s="75" t="str">
        <f>IFERROR(__xludf.DUMMYFUNCTION("""COMPUTED_VALUE"""),"Deferred Taxes
Deferred Taxes")</f>
        <v>Deferred Taxes
Deferred Taxes</v>
      </c>
      <c r="B118" s="75" t="str">
        <f>IFERROR(__xludf.DUMMYFUNCTION("""COMPUTED_VALUE"""),"-")</f>
        <v>-</v>
      </c>
      <c r="C118" s="75" t="str">
        <f>IFERROR(__xludf.DUMMYFUNCTION("""COMPUTED_VALUE"""),"-")</f>
        <v>-</v>
      </c>
      <c r="D118" s="75" t="str">
        <f>IFERROR(__xludf.DUMMYFUNCTION("""COMPUTED_VALUE"""),"(6.35B)")</f>
        <v>(6.35B)</v>
      </c>
      <c r="E118" s="75" t="str">
        <f>IFERROR(__xludf.DUMMYFUNCTION("""COMPUTED_VALUE"""),"477M")</f>
        <v>477M</v>
      </c>
      <c r="F118" s="75" t="str">
        <f>IFERROR(__xludf.DUMMYFUNCTION("""COMPUTED_VALUE"""),"123M")</f>
        <v>123M</v>
      </c>
      <c r="G118" s="75"/>
    </row>
    <row r="119">
      <c r="A119" s="75" t="str">
        <f>IFERROR(__xludf.DUMMYFUNCTION("""COMPUTED_VALUE"""),"Investment Tax Credit
Investment Tax Credit")</f>
        <v>Investment Tax Credit
Investment Tax Credit</v>
      </c>
      <c r="B119" s="75" t="str">
        <f>IFERROR(__xludf.DUMMYFUNCTION("""COMPUTED_VALUE"""),"-")</f>
        <v>-</v>
      </c>
      <c r="C119" s="75" t="str">
        <f>IFERROR(__xludf.DUMMYFUNCTION("""COMPUTED_VALUE"""),"-")</f>
        <v>-</v>
      </c>
      <c r="D119" s="75" t="str">
        <f>IFERROR(__xludf.DUMMYFUNCTION("""COMPUTED_VALUE"""),"-")</f>
        <v>-</v>
      </c>
      <c r="E119" s="75" t="str">
        <f>IFERROR(__xludf.DUMMYFUNCTION("""COMPUTED_VALUE"""),"-")</f>
        <v>-</v>
      </c>
      <c r="F119" s="75" t="str">
        <f>IFERROR(__xludf.DUMMYFUNCTION("""COMPUTED_VALUE"""),"-")</f>
        <v>-</v>
      </c>
      <c r="G119" s="75"/>
    </row>
    <row r="120">
      <c r="A120" s="75" t="str">
        <f>IFERROR(__xludf.DUMMYFUNCTION("""COMPUTED_VALUE"""),"Other Funds
Other Funds")</f>
        <v>Other Funds
Other Funds</v>
      </c>
      <c r="B120" s="75" t="str">
        <f>IFERROR(__xludf.DUMMYFUNCTION("""COMPUTED_VALUE"""),"2.42B")</f>
        <v>2.42B</v>
      </c>
      <c r="C120" s="75" t="str">
        <f>IFERROR(__xludf.DUMMYFUNCTION("""COMPUTED_VALUE"""),"2.3B")</f>
        <v>2.3B</v>
      </c>
      <c r="D120" s="75" t="str">
        <f>IFERROR(__xludf.DUMMYFUNCTION("""COMPUTED_VALUE"""),"2.21B")</f>
        <v>2.21B</v>
      </c>
      <c r="E120" s="75" t="str">
        <f>IFERROR(__xludf.DUMMYFUNCTION("""COMPUTED_VALUE"""),"1.84B")</f>
        <v>1.84B</v>
      </c>
      <c r="F120" s="75" t="str">
        <f>IFERROR(__xludf.DUMMYFUNCTION("""COMPUTED_VALUE"""),"3.98B")</f>
        <v>3.98B</v>
      </c>
      <c r="G120" s="75"/>
    </row>
    <row r="121">
      <c r="A121" s="75" t="str">
        <f>IFERROR(__xludf.DUMMYFUNCTION("""COMPUTED_VALUE"""),"Funds from Operations
Funds from Operations")</f>
        <v>Funds from Operations
Funds from Operations</v>
      </c>
      <c r="B121" s="75" t="str">
        <f>IFERROR(__xludf.DUMMYFUNCTION("""COMPUTED_VALUE"""),"10.98B")</f>
        <v>10.98B</v>
      </c>
      <c r="C121" s="75" t="str">
        <f>IFERROR(__xludf.DUMMYFUNCTION("""COMPUTED_VALUE"""),"18.63B")</f>
        <v>18.63B</v>
      </c>
      <c r="D121" s="75" t="str">
        <f>IFERROR(__xludf.DUMMYFUNCTION("""COMPUTED_VALUE"""),"15.5B")</f>
        <v>15.5B</v>
      </c>
      <c r="E121" s="75" t="str">
        <f>IFERROR(__xludf.DUMMYFUNCTION("""COMPUTED_VALUE"""),"14.84B")</f>
        <v>14.84B</v>
      </c>
      <c r="F121" s="75" t="str">
        <f>IFERROR(__xludf.DUMMYFUNCTION("""COMPUTED_VALUE"""),"14.11B")</f>
        <v>14.11B</v>
      </c>
      <c r="G121" s="75"/>
    </row>
    <row r="122">
      <c r="A122" s="75" t="str">
        <f>IFERROR(__xludf.DUMMYFUNCTION("""COMPUTED_VALUE"""),"Extraordinaries
Extraordinaries")</f>
        <v>Extraordinaries
Extraordinaries</v>
      </c>
      <c r="B122" s="75" t="str">
        <f>IFERROR(__xludf.DUMMYFUNCTION("""COMPUTED_VALUE"""),"-")</f>
        <v>-</v>
      </c>
      <c r="C122" s="75" t="str">
        <f>IFERROR(__xludf.DUMMYFUNCTION("""COMPUTED_VALUE"""),"-")</f>
        <v>-</v>
      </c>
      <c r="D122" s="75" t="str">
        <f>IFERROR(__xludf.DUMMYFUNCTION("""COMPUTED_VALUE"""),"-")</f>
        <v>-</v>
      </c>
      <c r="E122" s="75" t="str">
        <f>IFERROR(__xludf.DUMMYFUNCTION("""COMPUTED_VALUE"""),"-")</f>
        <v>-</v>
      </c>
      <c r="F122" s="75" t="str">
        <f>IFERROR(__xludf.DUMMYFUNCTION("""COMPUTED_VALUE"""),"-")</f>
        <v>-</v>
      </c>
      <c r="G122" s="75"/>
    </row>
    <row r="123">
      <c r="A123" s="75" t="str">
        <f>IFERROR(__xludf.DUMMYFUNCTION("""COMPUTED_VALUE"""),"Changes in Working Capital
Changes in Working Capital")</f>
        <v>Changes in Working Capital
Changes in Working Capital</v>
      </c>
      <c r="B123" s="75" t="str">
        <f>IFERROR(__xludf.DUMMYFUNCTION("""COMPUTED_VALUE"""),"518M")</f>
        <v>518M</v>
      </c>
      <c r="C123" s="75" t="str">
        <f>IFERROR(__xludf.DUMMYFUNCTION("""COMPUTED_VALUE"""),"(3.91B)")</f>
        <v>(3.91B)</v>
      </c>
      <c r="D123" s="75" t="str">
        <f>IFERROR(__xludf.DUMMYFUNCTION("""COMPUTED_VALUE"""),"(2.25B)")</f>
        <v>(2.25B)</v>
      </c>
      <c r="E123" s="75" t="str">
        <f>IFERROR(__xludf.DUMMYFUNCTION("""COMPUTED_VALUE"""),"81M")</f>
        <v>81M</v>
      </c>
      <c r="F123" s="75" t="str">
        <f>IFERROR(__xludf.DUMMYFUNCTION("""COMPUTED_VALUE"""),"642M")</f>
        <v>642M</v>
      </c>
      <c r="G123" s="75"/>
    </row>
    <row r="124">
      <c r="A124" s="75" t="str">
        <f>IFERROR(__xludf.DUMMYFUNCTION("""COMPUTED_VALUE"""),"Receivables
Receivables")</f>
        <v>Receivables
Receivables</v>
      </c>
      <c r="B124" s="75" t="str">
        <f>IFERROR(__xludf.DUMMYFUNCTION("""COMPUTED_VALUE"""),"(130M)")</f>
        <v>(130M)</v>
      </c>
      <c r="C124" s="75" t="str">
        <f>IFERROR(__xludf.DUMMYFUNCTION("""COMPUTED_VALUE"""),"(1.12B)")</f>
        <v>(1.12B)</v>
      </c>
      <c r="D124" s="75" t="str">
        <f>IFERROR(__xludf.DUMMYFUNCTION("""COMPUTED_VALUE"""),"(586M)")</f>
        <v>(586M)</v>
      </c>
      <c r="E124" s="75" t="str">
        <f>IFERROR(__xludf.DUMMYFUNCTION("""COMPUTED_VALUE"""),"(1.08B)")</f>
        <v>(1.08B)</v>
      </c>
      <c r="F124" s="75" t="str">
        <f>IFERROR(__xludf.DUMMYFUNCTION("""COMPUTED_VALUE"""),"(261M)")</f>
        <v>(261M)</v>
      </c>
      <c r="G124" s="75"/>
    </row>
    <row r="125">
      <c r="A125" s="75" t="str">
        <f>IFERROR(__xludf.DUMMYFUNCTION("""COMPUTED_VALUE"""),"Accounts Payable
Accounts Payable")</f>
        <v>Accounts Payable
Accounts Payable</v>
      </c>
      <c r="B125" s="75" t="str">
        <f>IFERROR(__xludf.DUMMYFUNCTION("""COMPUTED_VALUE"""),"4.58B")</f>
        <v>4.58B</v>
      </c>
      <c r="C125" s="75" t="str">
        <f>IFERROR(__xludf.DUMMYFUNCTION("""COMPUTED_VALUE"""),"6.03B")</f>
        <v>6.03B</v>
      </c>
      <c r="D125" s="75" t="str">
        <f>IFERROR(__xludf.DUMMYFUNCTION("""COMPUTED_VALUE"""),"2.61B")</f>
        <v>2.61B</v>
      </c>
      <c r="E125" s="75" t="str">
        <f>IFERROR(__xludf.DUMMYFUNCTION("""COMPUTED_VALUE"""),"3.59B")</f>
        <v>3.59B</v>
      </c>
      <c r="F125" s="75" t="str">
        <f>IFERROR(__xludf.DUMMYFUNCTION("""COMPUTED_VALUE"""),"4.38B")</f>
        <v>4.38B</v>
      </c>
      <c r="G125" s="75"/>
    </row>
    <row r="126">
      <c r="A126" s="75" t="str">
        <f>IFERROR(__xludf.DUMMYFUNCTION("""COMPUTED_VALUE"""),"Other Assets/Liabilities
Other Assets/Liabilities")</f>
        <v>Other Assets/Liabilities
Other Assets/Liabilities</v>
      </c>
      <c r="B126" s="75" t="str">
        <f>IFERROR(__xludf.DUMMYFUNCTION("""COMPUTED_VALUE"""),"(2.22B)")</f>
        <v>(2.22B)</v>
      </c>
      <c r="C126" s="75" t="str">
        <f>IFERROR(__xludf.DUMMYFUNCTION("""COMPUTED_VALUE"""),"(2.35B)")</f>
        <v>(2.35B)</v>
      </c>
      <c r="D126" s="75" t="str">
        <f>IFERROR(__xludf.DUMMYFUNCTION("""COMPUTED_VALUE"""),"(3.07B)")</f>
        <v>(3.07B)</v>
      </c>
      <c r="E126" s="75" t="str">
        <f>IFERROR(__xludf.DUMMYFUNCTION("""COMPUTED_VALUE"""),"(3.36B)")</f>
        <v>(3.36B)</v>
      </c>
      <c r="F126" s="75" t="str">
        <f>IFERROR(__xludf.DUMMYFUNCTION("""COMPUTED_VALUE"""),"(2.84B)")</f>
        <v>(2.84B)</v>
      </c>
      <c r="G126" s="75"/>
    </row>
    <row r="127">
      <c r="A127" s="75" t="str">
        <f>IFERROR(__xludf.DUMMYFUNCTION("""COMPUTED_VALUE"""),"Net Operating Cash Flow
Net Operating Cash Flow")</f>
        <v>Net Operating Cash Flow
Net Operating Cash Flow</v>
      </c>
      <c r="B127" s="75" t="str">
        <f>IFERROR(__xludf.DUMMYFUNCTION("""COMPUTED_VALUE"""),"11.5B")</f>
        <v>11.5B</v>
      </c>
      <c r="C127" s="75" t="str">
        <f>IFERROR(__xludf.DUMMYFUNCTION("""COMPUTED_VALUE"""),"14.72B")</f>
        <v>14.72B</v>
      </c>
      <c r="D127" s="75" t="str">
        <f>IFERROR(__xludf.DUMMYFUNCTION("""COMPUTED_VALUE"""),"13.26B")</f>
        <v>13.26B</v>
      </c>
      <c r="E127" s="75" t="str">
        <f>IFERROR(__xludf.DUMMYFUNCTION("""COMPUTED_VALUE"""),"14.92B")</f>
        <v>14.92B</v>
      </c>
      <c r="F127" s="75" t="str">
        <f>IFERROR(__xludf.DUMMYFUNCTION("""COMPUTED_VALUE"""),"14.75B")</f>
        <v>14.75B</v>
      </c>
      <c r="G127" s="75"/>
    </row>
    <row r="128">
      <c r="A128" s="75" t="str">
        <f>IFERROR(__xludf.DUMMYFUNCTION("""COMPUTED_VALUE"""),"Net Operating Cash Flow Growth
Net Operating Cash Flow Growth")</f>
        <v>Net Operating Cash Flow Growth
Net Operating Cash Flow Growth</v>
      </c>
      <c r="B128" s="75" t="str">
        <f>IFERROR(__xludf.DUMMYFUNCTION("""COMPUTED_VALUE"""),"-")</f>
        <v>-</v>
      </c>
      <c r="C128" s="74">
        <f>IFERROR(__xludf.DUMMYFUNCTION("""COMPUTED_VALUE"""),0.2807)</f>
        <v>0.2807</v>
      </c>
      <c r="D128" s="74">
        <f>IFERROR(__xludf.DUMMYFUNCTION("""COMPUTED_VALUE"""),-0.0997)</f>
        <v>-0.0997</v>
      </c>
      <c r="E128" s="74">
        <f>IFERROR(__xludf.DUMMYFUNCTION("""COMPUTED_VALUE"""),0.1258)</f>
        <v>0.1258</v>
      </c>
      <c r="F128" s="74">
        <f>IFERROR(__xludf.DUMMYFUNCTION("""COMPUTED_VALUE"""),-0.0118)</f>
        <v>-0.0118</v>
      </c>
      <c r="G128" s="75"/>
    </row>
    <row r="129">
      <c r="A129" s="75" t="str">
        <f>IFERROR(__xludf.DUMMYFUNCTION("""COMPUTED_VALUE"""),"Net Operating Cash Flow / Sales
Net Operating Cash Flow / Sales")</f>
        <v>Net Operating Cash Flow / Sales
Net Operating Cash Flow / Sales</v>
      </c>
      <c r="B129" s="74">
        <f>IFERROR(__xludf.DUMMYFUNCTION("""COMPUTED_VALUE"""),0.2136)</f>
        <v>0.2136</v>
      </c>
      <c r="C129" s="74">
        <f>IFERROR(__xludf.DUMMYFUNCTION("""COMPUTED_VALUE"""),0.1807)</f>
        <v>0.1807</v>
      </c>
      <c r="D129" s="74">
        <f>IFERROR(__xludf.DUMMYFUNCTION("""COMPUTED_VALUE"""),0.137)</f>
        <v>0.137</v>
      </c>
      <c r="E129" s="74">
        <f>IFERROR(__xludf.DUMMYFUNCTION("""COMPUTED_VALUE"""),0.1528)</f>
        <v>0.1528</v>
      </c>
      <c r="F129" s="74">
        <f>IFERROR(__xludf.DUMMYFUNCTION("""COMPUTED_VALUE"""),0.1555)</f>
        <v>0.1555</v>
      </c>
      <c r="G129" s="75"/>
    </row>
    <row r="131">
      <c r="A131" s="75" t="str">
        <f>IFERROR(__xludf.DUMMYFUNCTION("IMPORTHTML(CONCAT(CONCAT(""https://www.marketwatch.com/investing/stock/"",'Income Statement'!D1),""/financials/cash-flow""),""table"",6)
"),"Item
Item")</f>
        <v>Item
Item</v>
      </c>
      <c r="B131" s="75">
        <f>IFERROR(__xludf.DUMMYFUNCTION("""COMPUTED_VALUE"""),2021.0)</f>
        <v>2021</v>
      </c>
      <c r="C131" s="75">
        <f>IFERROR(__xludf.DUMMYFUNCTION("""COMPUTED_VALUE"""),2022.0)</f>
        <v>2022</v>
      </c>
      <c r="D131" s="75">
        <f>IFERROR(__xludf.DUMMYFUNCTION("""COMPUTED_VALUE"""),2023.0)</f>
        <v>2023</v>
      </c>
      <c r="E131" s="75">
        <f>IFERROR(__xludf.DUMMYFUNCTION("""COMPUTED_VALUE"""),2024.0)</f>
        <v>2024</v>
      </c>
      <c r="F131" s="75">
        <f>IFERROR(__xludf.DUMMYFUNCTION("""COMPUTED_VALUE"""),2025.0)</f>
        <v>2025</v>
      </c>
      <c r="G131" s="75" t="str">
        <f>IFERROR(__xludf.DUMMYFUNCTION("""COMPUTED_VALUE"""),"5-year trend")</f>
        <v>5-year trend</v>
      </c>
    </row>
    <row r="132">
      <c r="A132" s="75" t="str">
        <f>IFERROR(__xludf.DUMMYFUNCTION("""COMPUTED_VALUE"""),"Cash Dividends Paid - Total
Cash Dividends Paid - Total")</f>
        <v>Cash Dividends Paid - Total
Cash Dividends Paid - Total</v>
      </c>
      <c r="B132" s="75" t="str">
        <f>IFERROR(__xludf.DUMMYFUNCTION("""COMPUTED_VALUE"""),"-")</f>
        <v>-</v>
      </c>
      <c r="C132" s="75" t="str">
        <f>IFERROR(__xludf.DUMMYFUNCTION("""COMPUTED_VALUE"""),"-")</f>
        <v>-</v>
      </c>
      <c r="D132" s="75" t="str">
        <f>IFERROR(__xludf.DUMMYFUNCTION("""COMPUTED_VALUE"""),"-")</f>
        <v>-</v>
      </c>
      <c r="E132" s="75" t="str">
        <f>IFERROR(__xludf.DUMMYFUNCTION("""COMPUTED_VALUE"""),"-")</f>
        <v>-</v>
      </c>
      <c r="F132" s="75" t="str">
        <f>IFERROR(__xludf.DUMMYFUNCTION("""COMPUTED_VALUE"""),"-")</f>
        <v>-</v>
      </c>
      <c r="G132" s="75"/>
    </row>
    <row r="133">
      <c r="A133" s="75" t="str">
        <f>IFERROR(__xludf.DUMMYFUNCTION("""COMPUTED_VALUE"""),"Common Dividends
Common Dividends")</f>
        <v>Common Dividends
Common Dividends</v>
      </c>
      <c r="B133" s="75" t="str">
        <f>IFERROR(__xludf.DUMMYFUNCTION("""COMPUTED_VALUE"""),"-")</f>
        <v>-</v>
      </c>
      <c r="C133" s="75" t="str">
        <f>IFERROR(__xludf.DUMMYFUNCTION("""COMPUTED_VALUE"""),"-")</f>
        <v>-</v>
      </c>
      <c r="D133" s="75" t="str">
        <f>IFERROR(__xludf.DUMMYFUNCTION("""COMPUTED_VALUE"""),"-")</f>
        <v>-</v>
      </c>
      <c r="E133" s="75" t="str">
        <f>IFERROR(__xludf.DUMMYFUNCTION("""COMPUTED_VALUE"""),"-")</f>
        <v>-</v>
      </c>
      <c r="F133" s="75" t="str">
        <f>IFERROR(__xludf.DUMMYFUNCTION("""COMPUTED_VALUE"""),"-")</f>
        <v>-</v>
      </c>
      <c r="G133" s="75"/>
    </row>
    <row r="134">
      <c r="A134" s="75" t="str">
        <f>IFERROR(__xludf.DUMMYFUNCTION("""COMPUTED_VALUE"""),"Preferred Dividends
Preferred Dividends")</f>
        <v>Preferred Dividends
Preferred Dividends</v>
      </c>
      <c r="B134" s="75" t="str">
        <f>IFERROR(__xludf.DUMMYFUNCTION("""COMPUTED_VALUE"""),"-")</f>
        <v>-</v>
      </c>
      <c r="C134" s="75" t="str">
        <f>IFERROR(__xludf.DUMMYFUNCTION("""COMPUTED_VALUE"""),"-")</f>
        <v>-</v>
      </c>
      <c r="D134" s="75" t="str">
        <f>IFERROR(__xludf.DUMMYFUNCTION("""COMPUTED_VALUE"""),"-")</f>
        <v>-</v>
      </c>
      <c r="E134" s="75" t="str">
        <f>IFERROR(__xludf.DUMMYFUNCTION("""COMPUTED_VALUE"""),"-")</f>
        <v>-</v>
      </c>
      <c r="F134" s="75" t="str">
        <f>IFERROR(__xludf.DUMMYFUNCTION("""COMPUTED_VALUE"""),"-")</f>
        <v>-</v>
      </c>
      <c r="G134" s="75"/>
    </row>
    <row r="135">
      <c r="A135" s="75" t="str">
        <f>IFERROR(__xludf.DUMMYFUNCTION("""COMPUTED_VALUE"""),"Change in Capital Stock
Change in Capital Stock")</f>
        <v>Change in Capital Stock
Change in Capital Stock</v>
      </c>
      <c r="B135" s="75" t="str">
        <f>IFERROR(__xludf.DUMMYFUNCTION("""COMPUTED_VALUE"""),"707M")</f>
        <v>707M</v>
      </c>
      <c r="C135" s="75" t="str">
        <f>IFERROR(__xludf.DUMMYFUNCTION("""COMPUTED_VALUE"""),"541M")</f>
        <v>541M</v>
      </c>
      <c r="D135" s="75" t="str">
        <f>IFERROR(__xludf.DUMMYFUNCTION("""COMPUTED_VALUE"""),"700M")</f>
        <v>700M</v>
      </c>
      <c r="E135" s="75" t="str">
        <f>IFERROR(__xludf.DUMMYFUNCTION("""COMPUTED_VALUE"""),"1.24B")</f>
        <v>1.24B</v>
      </c>
      <c r="F135" s="75" t="str">
        <f>IFERROR(__xludf.DUMMYFUNCTION("""COMPUTED_VALUE"""),"1.19B")</f>
        <v>1.19B</v>
      </c>
      <c r="G135" s="75"/>
    </row>
    <row r="136">
      <c r="A136" s="75" t="str">
        <f>IFERROR(__xludf.DUMMYFUNCTION("""COMPUTED_VALUE"""),"Repurchase of Common &amp; Preferred Stk.
Repurchase of Common &amp; Preferred Stk.")</f>
        <v>Repurchase of Common &amp; Preferred Stk.
Repurchase of Common &amp; Preferred Stk.</v>
      </c>
      <c r="B136" s="75" t="str">
        <f>IFERROR(__xludf.DUMMYFUNCTION("""COMPUTED_VALUE"""),"-")</f>
        <v>-</v>
      </c>
      <c r="C136" s="75" t="str">
        <f>IFERROR(__xludf.DUMMYFUNCTION("""COMPUTED_VALUE"""),"-")</f>
        <v>-</v>
      </c>
      <c r="D136" s="75" t="str">
        <f>IFERROR(__xludf.DUMMYFUNCTION("""COMPUTED_VALUE"""),"-")</f>
        <v>-</v>
      </c>
      <c r="E136" s="75" t="str">
        <f>IFERROR(__xludf.DUMMYFUNCTION("""COMPUTED_VALUE"""),"-")</f>
        <v>-</v>
      </c>
      <c r="F136" s="75" t="str">
        <f>IFERROR(__xludf.DUMMYFUNCTION("""COMPUTED_VALUE"""),"-")</f>
        <v>-</v>
      </c>
      <c r="G136" s="75"/>
    </row>
    <row r="137">
      <c r="A137" s="75" t="str">
        <f>IFERROR(__xludf.DUMMYFUNCTION("""COMPUTED_VALUE"""),"Sale of Common &amp; Preferred Stock
Sale of Common &amp; Preferred Stock")</f>
        <v>Sale of Common &amp; Preferred Stock
Sale of Common &amp; Preferred Stock</v>
      </c>
      <c r="B137" s="75" t="str">
        <f>IFERROR(__xludf.DUMMYFUNCTION("""COMPUTED_VALUE"""),"707M")</f>
        <v>707M</v>
      </c>
      <c r="C137" s="75" t="str">
        <f>IFERROR(__xludf.DUMMYFUNCTION("""COMPUTED_VALUE"""),"541M")</f>
        <v>541M</v>
      </c>
      <c r="D137" s="75" t="str">
        <f>IFERROR(__xludf.DUMMYFUNCTION("""COMPUTED_VALUE"""),"700M")</f>
        <v>700M</v>
      </c>
      <c r="E137" s="75" t="str">
        <f>IFERROR(__xludf.DUMMYFUNCTION("""COMPUTED_VALUE"""),"1.24B")</f>
        <v>1.24B</v>
      </c>
      <c r="F137" s="75" t="str">
        <f>IFERROR(__xludf.DUMMYFUNCTION("""COMPUTED_VALUE"""),"1.19B")</f>
        <v>1.19B</v>
      </c>
      <c r="G137" s="75"/>
    </row>
    <row r="138">
      <c r="A138" s="75" t="str">
        <f>IFERROR(__xludf.DUMMYFUNCTION("""COMPUTED_VALUE"""),"Proceeds from Stock Options
Proceeds from Stock Options")</f>
        <v>Proceeds from Stock Options
Proceeds from Stock Options</v>
      </c>
      <c r="B138" s="75" t="str">
        <f>IFERROR(__xludf.DUMMYFUNCTION("""COMPUTED_VALUE"""),"-")</f>
        <v>-</v>
      </c>
      <c r="C138" s="75" t="str">
        <f>IFERROR(__xludf.DUMMYFUNCTION("""COMPUTED_VALUE"""),"-")</f>
        <v>-</v>
      </c>
      <c r="D138" s="75" t="str">
        <f>IFERROR(__xludf.DUMMYFUNCTION("""COMPUTED_VALUE"""),"-")</f>
        <v>-</v>
      </c>
      <c r="E138" s="75" t="str">
        <f>IFERROR(__xludf.DUMMYFUNCTION("""COMPUTED_VALUE"""),"-")</f>
        <v>-</v>
      </c>
      <c r="F138" s="75" t="str">
        <f>IFERROR(__xludf.DUMMYFUNCTION("""COMPUTED_VALUE"""),"-")</f>
        <v>-</v>
      </c>
      <c r="G138" s="75"/>
    </row>
    <row r="139">
      <c r="A139" s="75" t="str">
        <f>IFERROR(__xludf.DUMMYFUNCTION("""COMPUTED_VALUE"""),"Other Proceeds from Sale of Stock
Other Proceeds from Sale of Stock")</f>
        <v>Other Proceeds from Sale of Stock
Other Proceeds from Sale of Stock</v>
      </c>
      <c r="B139" s="75" t="str">
        <f>IFERROR(__xludf.DUMMYFUNCTION("""COMPUTED_VALUE"""),"707M")</f>
        <v>707M</v>
      </c>
      <c r="C139" s="75" t="str">
        <f>IFERROR(__xludf.DUMMYFUNCTION("""COMPUTED_VALUE"""),"541M")</f>
        <v>541M</v>
      </c>
      <c r="D139" s="75" t="str">
        <f>IFERROR(__xludf.DUMMYFUNCTION("""COMPUTED_VALUE"""),"700M")</f>
        <v>700M</v>
      </c>
      <c r="E139" s="75" t="str">
        <f>IFERROR(__xludf.DUMMYFUNCTION("""COMPUTED_VALUE"""),"1.24B")</f>
        <v>1.24B</v>
      </c>
      <c r="F139" s="75" t="str">
        <f>IFERROR(__xludf.DUMMYFUNCTION("""COMPUTED_VALUE"""),"1.19B")</f>
        <v>1.19B</v>
      </c>
      <c r="G139" s="75"/>
    </row>
    <row r="140">
      <c r="A140" s="75" t="str">
        <f>IFERROR(__xludf.DUMMYFUNCTION("""COMPUTED_VALUE"""),"Issuance/Reduction of Debt, Net
Issuance/Reduction of Debt, Net")</f>
        <v>Issuance/Reduction of Debt, Net
Issuance/Reduction of Debt, Net</v>
      </c>
      <c r="B140" s="75" t="str">
        <f>IFERROR(__xludf.DUMMYFUNCTION("""COMPUTED_VALUE"""),"(5.74B)")</f>
        <v>(5.74B)</v>
      </c>
      <c r="C140" s="75" t="str">
        <f>IFERROR(__xludf.DUMMYFUNCTION("""COMPUTED_VALUE"""),"(3.87B)")</f>
        <v>(3.87B)</v>
      </c>
      <c r="D140" s="75" t="str">
        <f>IFERROR(__xludf.DUMMYFUNCTION("""COMPUTED_VALUE"""),"2.09B")</f>
        <v>2.09B</v>
      </c>
      <c r="E140" s="75" t="str">
        <f>IFERROR(__xludf.DUMMYFUNCTION("""COMPUTED_VALUE"""),"2.85B")</f>
        <v>2.85B</v>
      </c>
      <c r="F140" s="75" t="str">
        <f>IFERROR(__xludf.DUMMYFUNCTION("""COMPUTED_VALUE"""),"(70M)")</f>
        <v>(70M)</v>
      </c>
      <c r="G140" s="75"/>
    </row>
    <row r="141">
      <c r="A141" s="75" t="str">
        <f>IFERROR(__xludf.DUMMYFUNCTION("""COMPUTED_VALUE"""),"Change in Current Debt
Change in Current Debt")</f>
        <v>Change in Current Debt
Change in Current Debt</v>
      </c>
      <c r="B141" s="75" t="str">
        <f>IFERROR(__xludf.DUMMYFUNCTION("""COMPUTED_VALUE"""),"-")</f>
        <v>-</v>
      </c>
      <c r="C141" s="75" t="str">
        <f>IFERROR(__xludf.DUMMYFUNCTION("""COMPUTED_VALUE"""),"-")</f>
        <v>-</v>
      </c>
      <c r="D141" s="75" t="str">
        <f>IFERROR(__xludf.DUMMYFUNCTION("""COMPUTED_VALUE"""),"-")</f>
        <v>-</v>
      </c>
      <c r="E141" s="75" t="str">
        <f>IFERROR(__xludf.DUMMYFUNCTION("""COMPUTED_VALUE"""),"-")</f>
        <v>-</v>
      </c>
      <c r="F141" s="75" t="str">
        <f>IFERROR(__xludf.DUMMYFUNCTION("""COMPUTED_VALUE"""),"-")</f>
        <v>-</v>
      </c>
      <c r="G141" s="75"/>
    </row>
    <row r="142">
      <c r="A142" s="75" t="str">
        <f>IFERROR(__xludf.DUMMYFUNCTION("""COMPUTED_VALUE"""),"Change in Long-Term Debt
Change in Long-Term Debt")</f>
        <v>Change in Long-Term Debt
Change in Long-Term Debt</v>
      </c>
      <c r="B142" s="75" t="str">
        <f>IFERROR(__xludf.DUMMYFUNCTION("""COMPUTED_VALUE"""),"(5.74B)")</f>
        <v>(5.74B)</v>
      </c>
      <c r="C142" s="75" t="str">
        <f>IFERROR(__xludf.DUMMYFUNCTION("""COMPUTED_VALUE"""),"(3.87B)")</f>
        <v>(3.87B)</v>
      </c>
      <c r="D142" s="75" t="str">
        <f>IFERROR(__xludf.DUMMYFUNCTION("""COMPUTED_VALUE"""),"2.09B")</f>
        <v>2.09B</v>
      </c>
      <c r="E142" s="75" t="str">
        <f>IFERROR(__xludf.DUMMYFUNCTION("""COMPUTED_VALUE"""),"2.85B")</f>
        <v>2.85B</v>
      </c>
      <c r="F142" s="75" t="str">
        <f>IFERROR(__xludf.DUMMYFUNCTION("""COMPUTED_VALUE"""),"(70M)")</f>
        <v>(70M)</v>
      </c>
      <c r="G142" s="75"/>
    </row>
    <row r="143">
      <c r="A143" s="75" t="str">
        <f>IFERROR(__xludf.DUMMYFUNCTION("""COMPUTED_VALUE"""),"Issuance of Long-Term Debt
Issuance of Long-Term Debt")</f>
        <v>Issuance of Long-Term Debt
Issuance of Long-Term Debt</v>
      </c>
      <c r="B143" s="75" t="str">
        <f>IFERROR(__xludf.DUMMYFUNCTION("""COMPUTED_VALUE"""),"8.87B")</f>
        <v>8.87B</v>
      </c>
      <c r="C143" s="75" t="str">
        <f>IFERROR(__xludf.DUMMYFUNCTION("""COMPUTED_VALUE"""),"-")</f>
        <v>-</v>
      </c>
      <c r="D143" s="75" t="str">
        <f>IFERROR(__xludf.DUMMYFUNCTION("""COMPUTED_VALUE"""),"3.9B")</f>
        <v>3.9B</v>
      </c>
      <c r="E143" s="75" t="str">
        <f>IFERROR(__xludf.DUMMYFUNCTION("""COMPUTED_VALUE"""),"5.73B")</f>
        <v>5.73B</v>
      </c>
      <c r="F143" s="75" t="str">
        <f>IFERROR(__xludf.DUMMYFUNCTION("""COMPUTED_VALUE"""),"5.58B")</f>
        <v>5.58B</v>
      </c>
      <c r="G143" s="75"/>
    </row>
    <row r="144">
      <c r="A144" s="75" t="str">
        <f>IFERROR(__xludf.DUMMYFUNCTION("""COMPUTED_VALUE"""),"Reduction in Long-Term Debt
Reduction in Long-Term Debt")</f>
        <v>Reduction in Long-Term Debt
Reduction in Long-Term Debt</v>
      </c>
      <c r="B144" s="75" t="str">
        <f>IFERROR(__xludf.DUMMYFUNCTION("""COMPUTED_VALUE"""),"(14.62B)")</f>
        <v>(14.62B)</v>
      </c>
      <c r="C144" s="75" t="str">
        <f>IFERROR(__xludf.DUMMYFUNCTION("""COMPUTED_VALUE"""),"(3.87B)")</f>
        <v>(3.87B)</v>
      </c>
      <c r="D144" s="75" t="str">
        <f>IFERROR(__xludf.DUMMYFUNCTION("""COMPUTED_VALUE"""),"(1.82B)")</f>
        <v>(1.82B)</v>
      </c>
      <c r="E144" s="75" t="str">
        <f>IFERROR(__xludf.DUMMYFUNCTION("""COMPUTED_VALUE"""),"(2.88B)")</f>
        <v>(2.88B)</v>
      </c>
      <c r="F144" s="75" t="str">
        <f>IFERROR(__xludf.DUMMYFUNCTION("""COMPUTED_VALUE"""),"(5.65B)")</f>
        <v>(5.65B)</v>
      </c>
      <c r="G144" s="75"/>
    </row>
    <row r="145">
      <c r="A145" s="75" t="str">
        <f>IFERROR(__xludf.DUMMYFUNCTION("""COMPUTED_VALUE"""),"Other Funds
Other Funds")</f>
        <v>Other Funds
Other Funds</v>
      </c>
      <c r="B145" s="75" t="str">
        <f>IFERROR(__xludf.DUMMYFUNCTION("""COMPUTED_VALUE"""),"(171M)")</f>
        <v>(171M)</v>
      </c>
      <c r="C145" s="75" t="str">
        <f>IFERROR(__xludf.DUMMYFUNCTION("""COMPUTED_VALUE"""),"(157M)")</f>
        <v>(157M)</v>
      </c>
      <c r="D145" s="75" t="str">
        <f>IFERROR(__xludf.DUMMYFUNCTION("""COMPUTED_VALUE"""),"(144M)")</f>
        <v>(144M)</v>
      </c>
      <c r="E145" s="75" t="str">
        <f>IFERROR(__xludf.DUMMYFUNCTION("""COMPUTED_VALUE"""),"(104M)")</f>
        <v>(104M)</v>
      </c>
      <c r="F145" s="75" t="str">
        <f>IFERROR(__xludf.DUMMYFUNCTION("""COMPUTED_VALUE"""),"23M")</f>
        <v>23M</v>
      </c>
      <c r="G145" s="75"/>
    </row>
    <row r="146">
      <c r="A146" s="75" t="str">
        <f>IFERROR(__xludf.DUMMYFUNCTION("""COMPUTED_VALUE"""),"Other Uses
Other Uses")</f>
        <v>Other Uses
Other Uses</v>
      </c>
      <c r="B146" s="75" t="str">
        <f>IFERROR(__xludf.DUMMYFUNCTION("""COMPUTED_VALUE"""),"(171M)")</f>
        <v>(171M)</v>
      </c>
      <c r="C146" s="75" t="str">
        <f>IFERROR(__xludf.DUMMYFUNCTION("""COMPUTED_VALUE"""),"(157M)")</f>
        <v>(157M)</v>
      </c>
      <c r="D146" s="75" t="str">
        <f>IFERROR(__xludf.DUMMYFUNCTION("""COMPUTED_VALUE"""),"(144M)")</f>
        <v>(144M)</v>
      </c>
      <c r="E146" s="75" t="str">
        <f>IFERROR(__xludf.DUMMYFUNCTION("""COMPUTED_VALUE"""),"(104M)")</f>
        <v>(104M)</v>
      </c>
      <c r="F146" s="75" t="str">
        <f>IFERROR(__xludf.DUMMYFUNCTION("""COMPUTED_VALUE"""),"(254M)")</f>
        <v>(254M)</v>
      </c>
      <c r="G146" s="75"/>
    </row>
    <row r="147">
      <c r="A147" s="75" t="str">
        <f>IFERROR(__xludf.DUMMYFUNCTION("""COMPUTED_VALUE"""),"Other Sources
Other Sources")</f>
        <v>Other Sources
Other Sources</v>
      </c>
      <c r="B147" s="75" t="str">
        <f>IFERROR(__xludf.DUMMYFUNCTION("""COMPUTED_VALUE"""),"-")</f>
        <v>-</v>
      </c>
      <c r="C147" s="75" t="str">
        <f>IFERROR(__xludf.DUMMYFUNCTION("""COMPUTED_VALUE"""),"-")</f>
        <v>-</v>
      </c>
      <c r="D147" s="75" t="str">
        <f>IFERROR(__xludf.DUMMYFUNCTION("""COMPUTED_VALUE"""),"-")</f>
        <v>-</v>
      </c>
      <c r="E147" s="75" t="str">
        <f>IFERROR(__xludf.DUMMYFUNCTION("""COMPUTED_VALUE"""),"-")</f>
        <v>-</v>
      </c>
      <c r="F147" s="75" t="str">
        <f>IFERROR(__xludf.DUMMYFUNCTION("""COMPUTED_VALUE"""),"277M")</f>
        <v>277M</v>
      </c>
      <c r="G147" s="75"/>
    </row>
    <row r="148">
      <c r="A148" s="75" t="str">
        <f>IFERROR(__xludf.DUMMYFUNCTION("""COMPUTED_VALUE"""),"Net Financing Cash Flow
Net Financing Cash Flow")</f>
        <v>Net Financing Cash Flow
Net Financing Cash Flow</v>
      </c>
      <c r="B148" s="75" t="str">
        <f>IFERROR(__xludf.DUMMYFUNCTION("""COMPUTED_VALUE"""),"(5.21B)")</f>
        <v>(5.21B)</v>
      </c>
      <c r="C148" s="75" t="str">
        <f>IFERROR(__xludf.DUMMYFUNCTION("""COMPUTED_VALUE"""),"(3.48B)")</f>
        <v>(3.48B)</v>
      </c>
      <c r="D148" s="75" t="str">
        <f>IFERROR(__xludf.DUMMYFUNCTION("""COMPUTED_VALUE"""),"2.64B")</f>
        <v>2.64B</v>
      </c>
      <c r="E148" s="75" t="str">
        <f>IFERROR(__xludf.DUMMYFUNCTION("""COMPUTED_VALUE"""),"3.99B")</f>
        <v>3.99B</v>
      </c>
      <c r="F148" s="75" t="str">
        <f>IFERROR(__xludf.DUMMYFUNCTION("""COMPUTED_VALUE"""),"1.14B")</f>
        <v>1.14B</v>
      </c>
      <c r="G148" s="75"/>
    </row>
    <row r="149">
      <c r="A149" s="75" t="str">
        <f>IFERROR(__xludf.DUMMYFUNCTION("""COMPUTED_VALUE"""),"Net Financing Cash Flow Growth
Net Financing Cash Flow Growth")</f>
        <v>Net Financing Cash Flow Growth
Net Financing Cash Flow Growth</v>
      </c>
      <c r="B149" s="75" t="str">
        <f>IFERROR(__xludf.DUMMYFUNCTION("""COMPUTED_VALUE"""),"-")</f>
        <v>-</v>
      </c>
      <c r="C149" s="74">
        <f>IFERROR(__xludf.DUMMYFUNCTION("""COMPUTED_VALUE"""),0.331)</f>
        <v>0.331</v>
      </c>
      <c r="D149" s="74">
        <f>IFERROR(__xludf.DUMMYFUNCTION("""COMPUTED_VALUE"""),1.759)</f>
        <v>1.759</v>
      </c>
      <c r="E149" s="74">
        <f>IFERROR(__xludf.DUMMYFUNCTION("""COMPUTED_VALUE"""),0.5081)</f>
        <v>0.5081</v>
      </c>
      <c r="F149" s="74">
        <f>IFERROR(__xludf.DUMMYFUNCTION("""COMPUTED_VALUE"""),-0.7142)</f>
        <v>-0.7142</v>
      </c>
      <c r="G149" s="75"/>
    </row>
    <row r="150">
      <c r="A150" s="75" t="str">
        <f>IFERROR(__xludf.DUMMYFUNCTION("""COMPUTED_VALUE"""),"Net Financing Cash Flow / Sales
Net Financing Cash Flow / Sales")</f>
        <v>Net Financing Cash Flow / Sales
Net Financing Cash Flow / Sales</v>
      </c>
      <c r="B150" s="74">
        <f>IFERROR(__xludf.DUMMYFUNCTION("""COMPUTED_VALUE"""),-0.0967)</f>
        <v>-0.0967</v>
      </c>
      <c r="C150" s="74">
        <f>IFERROR(__xludf.DUMMYFUNCTION("""COMPUTED_VALUE"""),-0.0427)</f>
        <v>-0.0427</v>
      </c>
      <c r="D150" s="74">
        <f>IFERROR(__xludf.DUMMYFUNCTION("""COMPUTED_VALUE"""),0.0273)</f>
        <v>0.0273</v>
      </c>
      <c r="E150" s="74">
        <f>IFERROR(__xludf.DUMMYFUNCTION("""COMPUTED_VALUE"""),0.0408)</f>
        <v>0.0408</v>
      </c>
      <c r="F150" s="74">
        <f>IFERROR(__xludf.DUMMYFUNCTION("""COMPUTED_VALUE"""),0.012)</f>
        <v>0.012</v>
      </c>
      <c r="G150" s="75"/>
    </row>
    <row r="151">
      <c r="A151" s="75" t="str">
        <f>IFERROR(__xludf.DUMMYFUNCTION("""COMPUTED_VALUE"""),"Exchange Rate Effect
Exchange Rate Effect")</f>
        <v>Exchange Rate Effect
Exchange Rate Effect</v>
      </c>
      <c r="B151" s="75" t="str">
        <f>IFERROR(__xludf.DUMMYFUNCTION("""COMPUTED_VALUE"""),"(183M)")</f>
        <v>(183M)</v>
      </c>
      <c r="C151" s="75" t="str">
        <f>IFERROR(__xludf.DUMMYFUNCTION("""COMPUTED_VALUE"""),"(444M)")</f>
        <v>(444M)</v>
      </c>
      <c r="D151" s="75" t="str">
        <f>IFERROR(__xludf.DUMMYFUNCTION("""COMPUTED_VALUE"""),"4M")</f>
        <v>4M</v>
      </c>
      <c r="E151" s="75" t="str">
        <f>IFERROR(__xludf.DUMMYFUNCTION("""COMPUTED_VALUE"""),"(141M)")</f>
        <v>(141M)</v>
      </c>
      <c r="F151" s="75" t="str">
        <f>IFERROR(__xludf.DUMMYFUNCTION("""COMPUTED_VALUE"""),"171M")</f>
        <v>171M</v>
      </c>
      <c r="G151" s="75"/>
    </row>
    <row r="152">
      <c r="A152" s="75" t="str">
        <f>IFERROR(__xludf.DUMMYFUNCTION("""COMPUTED_VALUE"""),"Miscellaneous Funds
Miscellaneous Funds")</f>
        <v>Miscellaneous Funds
Miscellaneous Funds</v>
      </c>
      <c r="B152" s="75" t="str">
        <f>IFERROR(__xludf.DUMMYFUNCTION("""COMPUTED_VALUE"""),"-")</f>
        <v>-</v>
      </c>
      <c r="C152" s="75" t="str">
        <f>IFERROR(__xludf.DUMMYFUNCTION("""COMPUTED_VALUE"""),"-")</f>
        <v>-</v>
      </c>
      <c r="D152" s="75" t="str">
        <f>IFERROR(__xludf.DUMMYFUNCTION("""COMPUTED_VALUE"""),"-")</f>
        <v>-</v>
      </c>
      <c r="E152" s="75" t="str">
        <f>IFERROR(__xludf.DUMMYFUNCTION("""COMPUTED_VALUE"""),"-")</f>
        <v>-</v>
      </c>
      <c r="F152" s="75" t="str">
        <f>IFERROR(__xludf.DUMMYFUNCTION("""COMPUTED_VALUE"""),"-")</f>
        <v>-</v>
      </c>
      <c r="G152" s="75"/>
    </row>
    <row r="153">
      <c r="A153" s="75" t="str">
        <f>IFERROR(__xludf.DUMMYFUNCTION("""COMPUTED_VALUE"""),"Net Change in Cash
Net Change in Cash")</f>
        <v>Net Change in Cash
Net Change in Cash</v>
      </c>
      <c r="B153" s="75" t="str">
        <f>IFERROR(__xludf.DUMMYFUNCTION("""COMPUTED_VALUE"""),"(1.76B)")</f>
        <v>(1.76B)</v>
      </c>
      <c r="C153" s="75" t="str">
        <f>IFERROR(__xludf.DUMMYFUNCTION("""COMPUTED_VALUE"""),"(1.22B)")</f>
        <v>(1.22B)</v>
      </c>
      <c r="D153" s="75" t="str">
        <f>IFERROR(__xludf.DUMMYFUNCTION("""COMPUTED_VALUE"""),"265M")</f>
        <v>265M</v>
      </c>
      <c r="E153" s="75" t="str">
        <f>IFERROR(__xludf.DUMMYFUNCTION("""COMPUTED_VALUE"""),"(152M)")</f>
        <v>(152M)</v>
      </c>
      <c r="F153" s="75" t="str">
        <f>IFERROR(__xludf.DUMMYFUNCTION("""COMPUTED_VALUE"""),"579M")</f>
        <v>579M</v>
      </c>
      <c r="G153" s="75"/>
    </row>
    <row r="154">
      <c r="A154" s="75" t="str">
        <f>IFERROR(__xludf.DUMMYFUNCTION("""COMPUTED_VALUE"""),"Free Cash Flow
Free Cash Flow")</f>
        <v>Free Cash Flow
Free Cash Flow</v>
      </c>
      <c r="B154" s="75" t="str">
        <f>IFERROR(__xludf.DUMMYFUNCTION("""COMPUTED_VALUE"""),"4.98B")</f>
        <v>4.98B</v>
      </c>
      <c r="C154" s="75" t="str">
        <f>IFERROR(__xludf.DUMMYFUNCTION("""COMPUTED_VALUE"""),"7.56B")</f>
        <v>7.56B</v>
      </c>
      <c r="D154" s="75" t="str">
        <f>IFERROR(__xludf.DUMMYFUNCTION("""COMPUTED_VALUE"""),"4.36B")</f>
        <v>4.36B</v>
      </c>
      <c r="E154" s="75" t="str">
        <f>IFERROR(__xludf.DUMMYFUNCTION("""COMPUTED_VALUE"""),"3.58B")</f>
        <v>3.58B</v>
      </c>
      <c r="F154" s="75" t="str">
        <f>IFERROR(__xludf.DUMMYFUNCTION("""COMPUTED_VALUE"""),"6.22B")</f>
        <v>6.22B</v>
      </c>
      <c r="G154" s="75"/>
    </row>
    <row r="155">
      <c r="A155" s="75" t="str">
        <f>IFERROR(__xludf.DUMMYFUNCTION("""COMPUTED_VALUE"""),"Free Cash Flow Growth
Free Cash Flow Growth")</f>
        <v>Free Cash Flow Growth
Free Cash Flow Growth</v>
      </c>
      <c r="B155" s="75" t="str">
        <f>IFERROR(__xludf.DUMMYFUNCTION("""COMPUTED_VALUE"""),"-")</f>
        <v>-</v>
      </c>
      <c r="C155" s="74">
        <f>IFERROR(__xludf.DUMMYFUNCTION("""COMPUTED_VALUE"""),0.5174)</f>
        <v>0.5174</v>
      </c>
      <c r="D155" s="74">
        <f>IFERROR(__xludf.DUMMYFUNCTION("""COMPUTED_VALUE"""),-0.4238)</f>
        <v>-0.4238</v>
      </c>
      <c r="E155" s="74">
        <f>IFERROR(__xludf.DUMMYFUNCTION("""COMPUTED_VALUE"""),-0.1781)</f>
        <v>-0.1781</v>
      </c>
      <c r="F155" s="74">
        <f>IFERROR(__xludf.DUMMYFUNCTION("""COMPUTED_VALUE"""),0.7369)</f>
        <v>0.7369</v>
      </c>
      <c r="G155" s="75"/>
    </row>
    <row r="156">
      <c r="A156" s="75" t="str">
        <f>IFERROR(__xludf.DUMMYFUNCTION("""COMPUTED_VALUE"""),"Free Cash Flow Yield
Free Cash Flow Yield")</f>
        <v>Free Cash Flow Yield
Free Cash Flow Yield</v>
      </c>
      <c r="B156" s="75" t="str">
        <f>IFERROR(__xludf.DUMMYFUNCTION("""COMPUTED_VALUE"""),"-")</f>
        <v>-</v>
      </c>
      <c r="C156" s="75" t="str">
        <f>IFERROR(__xludf.DUMMYFUNCTION("""COMPUTED_VALUE"""),"-")</f>
        <v>-</v>
      </c>
      <c r="D156" s="75" t="str">
        <f>IFERROR(__xludf.DUMMYFUNCTION("""COMPUTED_VALUE"""),"-")</f>
        <v>-</v>
      </c>
      <c r="E156" s="75" t="str">
        <f>IFERROR(__xludf.DUMMYFUNCTION("""COMPUTED_VALUE"""),"-")</f>
        <v>-</v>
      </c>
      <c r="F156" s="75">
        <f>IFERROR(__xludf.DUMMYFUNCTION("""COMPUTED_VALUE"""),0.39)</f>
        <v>0.39</v>
      </c>
      <c r="G156" s="75"/>
    </row>
    <row r="158">
      <c r="A158" s="158"/>
      <c r="G158" s="74"/>
    </row>
    <row r="160">
      <c r="E160" s="159"/>
      <c r="F160" s="159"/>
      <c r="G160" s="159"/>
      <c r="H160" s="159"/>
      <c r="I160" s="159"/>
    </row>
    <row r="161">
      <c r="A161" s="160" t="s">
        <v>114</v>
      </c>
      <c r="B161" s="160" t="s">
        <v>115</v>
      </c>
      <c r="C161" s="160" t="s">
        <v>116</v>
      </c>
      <c r="F161" s="159"/>
      <c r="G161" s="159"/>
      <c r="H161" s="159"/>
      <c r="I161" s="159"/>
    </row>
    <row r="162">
      <c r="A162" s="161">
        <v>45901.0</v>
      </c>
      <c r="B162" s="162">
        <f>IFERROR(__xludf.DUMMYFUNCTION("GOOGLEFINANCE('Income Statement'!$D$1)"),393.45)</f>
        <v>393.45</v>
      </c>
      <c r="C162" s="163">
        <f t="shared" ref="C162:C229" si="1">B162/B163-1</f>
        <v>-0.07139485485</v>
      </c>
      <c r="D162" s="164"/>
      <c r="E162" s="162"/>
      <c r="F162" s="165"/>
      <c r="G162" s="159"/>
      <c r="H162" s="159"/>
      <c r="I162" s="159"/>
    </row>
    <row r="163">
      <c r="A163" s="161">
        <v>45870.0</v>
      </c>
      <c r="B163" s="162">
        <f>IFERROR(__xludf.DUMMYFUNCTION("INDEX(GOOGLEFINANCE('Income Statement'!$D$1,""price"",EDATE(TODAY(),-1)),2,2)"),423.7)</f>
        <v>423.7</v>
      </c>
      <c r="C163" s="163">
        <f t="shared" si="1"/>
        <v>0.07946294362</v>
      </c>
      <c r="D163" s="164"/>
      <c r="E163" s="162"/>
      <c r="F163" s="165"/>
      <c r="G163" s="163"/>
      <c r="H163" s="159"/>
      <c r="I163" s="159"/>
    </row>
    <row r="164">
      <c r="A164" s="161">
        <v>45839.0</v>
      </c>
      <c r="B164" s="162">
        <f>IFERROR(__xludf.DUMMYFUNCTION("INDEX(GOOGLEFINANCE('Income Statement'!$D$1,""price"",EDATE(TODAY(),-2)),2,2)"),392.51)</f>
        <v>392.51</v>
      </c>
      <c r="C164" s="163">
        <f t="shared" si="1"/>
        <v>0.1124936228</v>
      </c>
      <c r="D164" s="164"/>
      <c r="E164" s="162"/>
      <c r="F164" s="165"/>
      <c r="G164" s="163"/>
      <c r="H164" s="159"/>
      <c r="I164" s="159"/>
    </row>
    <row r="165">
      <c r="A165" s="161">
        <v>45809.0</v>
      </c>
      <c r="B165" s="162">
        <f>IFERROR(__xludf.DUMMYFUNCTION("INDEX(GOOGLEFINANCE('Income Statement'!$D$1,""price"",EDATE(TODAY(),-3)),2,2)"),352.82)</f>
        <v>352.82</v>
      </c>
      <c r="C165" s="163">
        <f t="shared" si="1"/>
        <v>-0.1009351986</v>
      </c>
      <c r="D165" s="164"/>
      <c r="E165" s="162"/>
      <c r="F165" s="165"/>
      <c r="G165" s="163"/>
      <c r="H165" s="159"/>
      <c r="I165" s="159"/>
    </row>
    <row r="166">
      <c r="A166" s="161">
        <v>45778.0</v>
      </c>
      <c r="B166" s="162">
        <f>IFERROR(__xludf.DUMMYFUNCTION("INDEX(GOOGLEFINANCE('Income Statement'!$D$1,""price"",EDATE(TODAY(),-4)),2,2)"),392.43)</f>
        <v>392.43</v>
      </c>
      <c r="C166" s="163">
        <f t="shared" si="1"/>
        <v>-0.06998293677</v>
      </c>
      <c r="D166" s="164"/>
      <c r="E166" s="162"/>
      <c r="F166" s="165"/>
      <c r="G166" s="163"/>
      <c r="H166" s="159"/>
      <c r="I166" s="159"/>
    </row>
    <row r="167">
      <c r="A167" s="161">
        <v>45748.0</v>
      </c>
      <c r="B167" s="162">
        <f>IFERROR(__xludf.DUMMYFUNCTION("INDEX(GOOGLEFINANCE('Income Statement'!$D$1,""price"",EDATE(TODAY(),-5)),2,2)"),421.96)</f>
        <v>421.96</v>
      </c>
      <c r="C167" s="163">
        <f t="shared" si="1"/>
        <v>-0.06577811234</v>
      </c>
      <c r="D167" s="164"/>
      <c r="E167" s="162"/>
      <c r="F167" s="165"/>
      <c r="G167" s="166"/>
      <c r="H167" s="159"/>
      <c r="I167" s="159"/>
    </row>
    <row r="168">
      <c r="A168" s="161">
        <v>45717.0</v>
      </c>
      <c r="B168" s="162">
        <f>IFERROR(__xludf.DUMMYFUNCTION("INDEX(GOOGLEFINANCE('Income Statement'!$D$1,""price"",EDATE(TODAY(),-6)),2,2)"),451.67)</f>
        <v>451.67</v>
      </c>
      <c r="C168" s="163">
        <f t="shared" si="1"/>
        <v>0.01103550163</v>
      </c>
      <c r="D168" s="164"/>
      <c r="E168" s="162"/>
      <c r="F168" s="165"/>
      <c r="G168" s="163"/>
      <c r="H168" s="159"/>
      <c r="I168" s="159"/>
    </row>
    <row r="169">
      <c r="A169" s="161">
        <v>45689.0</v>
      </c>
      <c r="B169" s="162">
        <f>IFERROR(__xludf.DUMMYFUNCTION("INDEX(GOOGLEFINANCE('Income Statement'!$D$1,""price"",EDATE(TODAY(),-7)),2,2)"),446.74)</f>
        <v>446.74</v>
      </c>
      <c r="C169" s="163">
        <f t="shared" si="1"/>
        <v>-0.04618143775</v>
      </c>
      <c r="D169" s="164"/>
      <c r="E169" s="162"/>
      <c r="F169" s="165"/>
      <c r="G169" s="163"/>
      <c r="H169" s="159"/>
      <c r="I169" s="159"/>
    </row>
    <row r="170">
      <c r="A170" s="161">
        <v>45658.0</v>
      </c>
      <c r="B170" s="162">
        <f>IFERROR(__xludf.DUMMYFUNCTION("INDEX(GOOGLEFINANCE('Income Statement'!$D$1,""price"",EDATE(TODAY(),-8)),2,2)"),468.37)</f>
        <v>468.37</v>
      </c>
      <c r="C170" s="163">
        <f t="shared" si="1"/>
        <v>0.08966335528</v>
      </c>
      <c r="D170" s="164"/>
      <c r="E170" s="162"/>
      <c r="F170" s="165"/>
      <c r="G170" s="163"/>
      <c r="H170" s="159"/>
      <c r="I170" s="159"/>
    </row>
    <row r="171">
      <c r="A171" s="167">
        <v>45627.0</v>
      </c>
      <c r="B171" s="162">
        <f>IFERROR(__xludf.DUMMYFUNCTION("INDEX(GOOGLEFINANCE('Income Statement'!$D$1,""price"",EDATE(TODAY(),-9)),2,2)"),429.83)</f>
        <v>429.83</v>
      </c>
      <c r="C171" s="163">
        <f t="shared" si="1"/>
        <v>0.2865694873</v>
      </c>
      <c r="D171" s="164"/>
      <c r="E171" s="162"/>
      <c r="F171" s="165"/>
      <c r="G171" s="163"/>
      <c r="H171" s="159"/>
      <c r="I171" s="159"/>
    </row>
    <row r="172">
      <c r="A172" s="167">
        <v>45597.0</v>
      </c>
      <c r="B172" s="162">
        <f>IFERROR(__xludf.DUMMYFUNCTION("INDEX(GOOGLEFINANCE('Income Statement'!$D$1,""price"",EDATE(TODAY(),-10)),2,2)"),334.09)</f>
        <v>334.09</v>
      </c>
      <c r="C172" s="163">
        <f t="shared" si="1"/>
        <v>0.08028843045</v>
      </c>
      <c r="D172" s="164"/>
      <c r="E172" s="162"/>
      <c r="F172" s="165"/>
      <c r="G172" s="163"/>
      <c r="H172" s="159"/>
      <c r="I172" s="159"/>
    </row>
    <row r="173">
      <c r="A173" s="167">
        <v>45566.0</v>
      </c>
      <c r="B173" s="162">
        <f>IFERROR(__xludf.DUMMYFUNCTION("INDEX(GOOGLEFINANCE('Income Statement'!$D$1,""price"",EDATE(TODAY(),-11)),2,2)"),309.26)</f>
        <v>309.26</v>
      </c>
      <c r="C173" s="163">
        <f t="shared" si="1"/>
        <v>-0.01931187569</v>
      </c>
      <c r="D173" s="164"/>
      <c r="E173" s="162"/>
      <c r="F173" s="165"/>
      <c r="G173" s="163"/>
      <c r="H173" s="159"/>
      <c r="I173" s="159"/>
    </row>
    <row r="174">
      <c r="A174" s="161">
        <v>45536.0</v>
      </c>
      <c r="B174" s="162">
        <f>IFERROR(__xludf.DUMMYFUNCTION("INDEX(GOOGLEFINANCE('Income Statement'!$D$1,""price"",EDATE(TODAY(),-12)),2,2)"),315.35)</f>
        <v>315.35</v>
      </c>
      <c r="C174" s="163">
        <f t="shared" si="1"/>
        <v>-0.0840038342</v>
      </c>
      <c r="D174" s="164"/>
      <c r="E174" s="162"/>
      <c r="F174" s="165"/>
      <c r="G174" s="163"/>
      <c r="H174" s="159"/>
      <c r="I174" s="159"/>
    </row>
    <row r="175">
      <c r="A175" s="161">
        <v>45505.0</v>
      </c>
      <c r="B175" s="162">
        <f>IFERROR(__xludf.DUMMYFUNCTION("INDEX(GOOGLEFINANCE('Income Statement'!$D$1,""price"",EDATE(TODAY(),-13)),2,2)"),344.27)</f>
        <v>344.27</v>
      </c>
      <c r="C175" s="163">
        <f t="shared" si="1"/>
        <v>0.2283950617</v>
      </c>
      <c r="D175" s="164"/>
      <c r="E175" s="162"/>
      <c r="F175" s="165"/>
      <c r="G175" s="163"/>
      <c r="H175" s="159"/>
      <c r="I175" s="159"/>
    </row>
    <row r="176">
      <c r="A176" s="161">
        <v>45474.0</v>
      </c>
      <c r="B176" s="162">
        <f>IFERROR(__xludf.DUMMYFUNCTION("INDEX(GOOGLEFINANCE('Income Statement'!$D$1,""price"",EDATE(TODAY(),-14)),2,2)"),280.26)</f>
        <v>280.26</v>
      </c>
      <c r="C176" s="163">
        <f t="shared" si="1"/>
        <v>0.0485633044</v>
      </c>
      <c r="D176" s="164"/>
      <c r="E176" s="162"/>
      <c r="F176" s="165"/>
      <c r="G176" s="163"/>
      <c r="H176" s="159"/>
      <c r="I176" s="159"/>
    </row>
    <row r="177">
      <c r="A177" s="161">
        <v>45444.0</v>
      </c>
      <c r="B177" s="162">
        <f>IFERROR(__xludf.DUMMYFUNCTION("INDEX(GOOGLEFINANCE('Income Statement'!$D$1,""price"",EDATE(TODAY(),-15)),2,2)"),267.28)</f>
        <v>267.28</v>
      </c>
      <c r="C177" s="163">
        <f t="shared" si="1"/>
        <v>-0.0610223081</v>
      </c>
      <c r="D177" s="164"/>
      <c r="E177" s="162"/>
      <c r="F177" s="165"/>
      <c r="G177" s="163"/>
      <c r="H177" s="159"/>
      <c r="I177" s="159"/>
    </row>
    <row r="178">
      <c r="A178" s="161">
        <v>45413.0</v>
      </c>
      <c r="B178" s="162">
        <f>IFERROR(__xludf.DUMMYFUNCTION("INDEX(GOOGLEFINANCE('Income Statement'!$D$1,""price"",EDATE(TODAY(),-16)),2,2)"),284.65)</f>
        <v>284.65</v>
      </c>
      <c r="C178" s="163">
        <f t="shared" si="1"/>
        <v>-0.2581057131</v>
      </c>
      <c r="D178" s="164"/>
      <c r="E178" s="162"/>
      <c r="F178" s="165"/>
      <c r="G178" s="163"/>
      <c r="H178" s="159"/>
      <c r="I178" s="159"/>
    </row>
    <row r="179">
      <c r="A179" s="161">
        <v>45383.0</v>
      </c>
      <c r="B179" s="162">
        <f>IFERROR(__xludf.DUMMYFUNCTION("INDEX(GOOGLEFINANCE('Income Statement'!$D$1,""price"",EDATE(TODAY(),-17)),2,2)"),383.68)</f>
        <v>383.68</v>
      </c>
      <c r="C179" s="163">
        <f t="shared" si="1"/>
        <v>-0.06519832375</v>
      </c>
      <c r="D179" s="164"/>
      <c r="E179" s="162"/>
      <c r="F179" s="165"/>
      <c r="G179" s="163"/>
      <c r="H179" s="159"/>
      <c r="I179" s="159"/>
    </row>
    <row r="180">
      <c r="A180" s="161">
        <v>45352.0</v>
      </c>
      <c r="B180" s="162">
        <f>IFERROR(__xludf.DUMMYFUNCTION("INDEX(GOOGLEFINANCE('Income Statement'!$D$1,""price"",EDATE(TODAY(),-18)),2,2)"),410.44)</f>
        <v>410.44</v>
      </c>
      <c r="C180" s="163">
        <f t="shared" si="1"/>
        <v>0.1679471857</v>
      </c>
      <c r="E180" s="159"/>
      <c r="F180" s="159"/>
      <c r="G180" s="163"/>
      <c r="H180" s="159"/>
      <c r="I180" s="159"/>
    </row>
    <row r="181">
      <c r="A181" s="168">
        <v>45323.0</v>
      </c>
      <c r="B181" s="162">
        <f>IFERROR(__xludf.DUMMYFUNCTION("INDEX(GOOGLEFINANCE('Income Statement'!$D$1,""price"",EDATE(TODAY(),-19)),2,2)"),351.42)</f>
        <v>351.42</v>
      </c>
      <c r="C181" s="163">
        <f t="shared" si="1"/>
        <v>0.4471256795</v>
      </c>
      <c r="E181" s="159"/>
      <c r="F181" s="159"/>
      <c r="G181" s="163"/>
      <c r="H181" s="159"/>
      <c r="I181" s="159"/>
    </row>
    <row r="182">
      <c r="A182" s="169">
        <v>45292.0</v>
      </c>
      <c r="B182" s="162">
        <f>IFERROR(__xludf.DUMMYFUNCTION("INDEX(GOOGLEFINANCE('Income Statement'!$D$1,""price"",EDATE(TODAY(),-20)),2,2)"),242.84)</f>
        <v>242.84</v>
      </c>
      <c r="C182" s="163">
        <f t="shared" si="1"/>
        <v>0.009058422671</v>
      </c>
      <c r="E182" s="159"/>
      <c r="F182" s="159"/>
      <c r="G182" s="163"/>
      <c r="H182" s="159"/>
      <c r="I182" s="159"/>
    </row>
    <row r="183">
      <c r="A183" s="169">
        <v>45261.0</v>
      </c>
      <c r="B183" s="162">
        <f>IFERROR(__xludf.DUMMYFUNCTION("INDEX(GOOGLEFINANCE('Income Statement'!$D$1,""price"",EDATE(TODAY(),-21)),2,2)"),240.66)</f>
        <v>240.66</v>
      </c>
      <c r="C183" s="163">
        <f t="shared" si="1"/>
        <v>0.1427350427</v>
      </c>
      <c r="E183" s="159"/>
      <c r="F183" s="159"/>
      <c r="G183" s="163"/>
      <c r="H183" s="159"/>
      <c r="I183" s="159"/>
    </row>
    <row r="184">
      <c r="A184" s="169">
        <v>45232.0</v>
      </c>
      <c r="B184" s="162">
        <f>IFERROR(__xludf.DUMMYFUNCTION("INDEX(GOOGLEFINANCE('Income Statement'!$D$1,""price"",EDATE(TODAY(),-22)),2,2)"),210.6)</f>
        <v>210.6</v>
      </c>
      <c r="C184" s="163">
        <f t="shared" si="1"/>
        <v>0.05893000805</v>
      </c>
      <c r="E184" s="159"/>
      <c r="F184" s="159"/>
      <c r="G184" s="163"/>
      <c r="H184" s="159"/>
      <c r="I184" s="159"/>
    </row>
    <row r="185">
      <c r="A185" s="169">
        <v>45202.0</v>
      </c>
      <c r="B185" s="162">
        <f>IFERROR(__xludf.DUMMYFUNCTION("INDEX(GOOGLEFINANCE('Income Statement'!$D$1,""price"",EDATE(TODAY(),-23)),2,2)"),198.88)</f>
        <v>198.88</v>
      </c>
      <c r="C185" s="163">
        <f t="shared" si="1"/>
        <v>-0.1928243841</v>
      </c>
    </row>
    <row r="186">
      <c r="A186" s="169">
        <v>45173.0</v>
      </c>
      <c r="B186" s="162">
        <f>IFERROR(__xludf.DUMMYFUNCTION("INDEX(GOOGLEFINANCE('Income Statement'!$D$1,""price"",EDATE(TODAY(),-24)),2,2)"),246.39)</f>
        <v>246.39</v>
      </c>
      <c r="C186" s="163">
        <f t="shared" si="1"/>
        <v>0.3976402519</v>
      </c>
      <c r="G186" s="74"/>
    </row>
    <row r="187">
      <c r="A187" s="169">
        <v>45143.0</v>
      </c>
      <c r="B187" s="162">
        <f>IFERROR(__xludf.DUMMYFUNCTION("INDEX(GOOGLEFINANCE('Income Statement'!$D$1,""price"",EDATE(TODAY(),-25)),2,2)"),176.29)</f>
        <v>176.29</v>
      </c>
      <c r="C187" s="163">
        <f t="shared" si="1"/>
        <v>-0.02704343507</v>
      </c>
      <c r="G187" s="74"/>
    </row>
    <row r="188">
      <c r="A188" s="169">
        <v>45113.0</v>
      </c>
      <c r="B188" s="162">
        <f>IFERROR(__xludf.DUMMYFUNCTION("INDEX(GOOGLEFINANCE('Income Statement'!$D$1,""price"",EDATE(TODAY(),-26)),2,2)"),181.19)</f>
        <v>181.19</v>
      </c>
      <c r="C188" s="163">
        <f t="shared" si="1"/>
        <v>0.07607791899</v>
      </c>
      <c r="G188" s="74"/>
    </row>
    <row r="189">
      <c r="A189" s="169">
        <v>45084.0</v>
      </c>
      <c r="B189" s="162">
        <f>IFERROR(__xludf.DUMMYFUNCTION("INDEX(GOOGLEFINANCE('Income Statement'!$D$1,""price"",EDATE(TODAY(),-27)),2,2)"),168.38)</f>
        <v>168.38</v>
      </c>
      <c r="C189" s="163">
        <f t="shared" si="1"/>
        <v>-0.1050281705</v>
      </c>
      <c r="G189" s="74"/>
    </row>
    <row r="190">
      <c r="A190" s="169">
        <v>45054.0</v>
      </c>
      <c r="B190" s="162">
        <f>IFERROR(__xludf.DUMMYFUNCTION("INDEX(GOOGLEFINANCE('Income Statement'!$D$1,""price"",EDATE(TODAY(),-28)),2,2)"),188.14)</f>
        <v>188.14</v>
      </c>
      <c r="C190" s="163">
        <f t="shared" si="1"/>
        <v>0.03910305976</v>
      </c>
      <c r="G190" s="74"/>
    </row>
    <row r="191">
      <c r="A191" s="169">
        <v>45025.0</v>
      </c>
      <c r="B191" s="162">
        <f>IFERROR(__xludf.DUMMYFUNCTION("INDEX(GOOGLEFINANCE('Income Statement'!$D$1,""price"",EDATE(TODAY(),-29)),2,2)"),181.06)</f>
        <v>181.06</v>
      </c>
      <c r="C191" s="163">
        <f t="shared" si="1"/>
        <v>-0.2406793877</v>
      </c>
      <c r="G191" s="74"/>
    </row>
    <row r="192">
      <c r="A192" s="169">
        <v>44995.0</v>
      </c>
      <c r="B192" s="162">
        <f>IFERROR(__xludf.DUMMYFUNCTION("INDEX(GOOGLEFINANCE('Income Statement'!$D$1,""price"",EDATE(TODAY(),-30)),2,2)"),238.45)</f>
        <v>238.45</v>
      </c>
      <c r="C192" s="163">
        <f t="shared" si="1"/>
        <v>0.01218269802</v>
      </c>
      <c r="G192" s="74"/>
    </row>
    <row r="193">
      <c r="A193" s="169">
        <v>44968.0</v>
      </c>
      <c r="B193" s="162">
        <f>IFERROR(__xludf.DUMMYFUNCTION("INDEX(GOOGLEFINANCE('Income Statement'!$D$1,""price"",EDATE(TODAY(),-31)),2,2)"),235.58)</f>
        <v>235.58</v>
      </c>
      <c r="C193" s="163">
        <f t="shared" si="1"/>
        <v>0.07101291144</v>
      </c>
      <c r="G193" s="74"/>
    </row>
    <row r="194">
      <c r="A194" s="169">
        <v>44938.0</v>
      </c>
      <c r="B194" s="162">
        <f>IFERROR(__xludf.DUMMYFUNCTION("INDEX(GOOGLEFINANCE('Income Statement'!$D$1,""price"",EDATE(TODAY(),-32)),2,2)"),219.96)</f>
        <v>219.96</v>
      </c>
      <c r="C194" s="163">
        <f t="shared" si="1"/>
        <v>-0.1077759299</v>
      </c>
      <c r="G194" s="74"/>
    </row>
    <row r="195">
      <c r="A195" s="169">
        <v>44908.0</v>
      </c>
      <c r="B195" s="162">
        <f>IFERROR(__xludf.DUMMYFUNCTION("INDEX(GOOGLEFINANCE('Income Statement'!$D$1,""price"",EDATE(TODAY(),-33)),2,2)"),246.53)</f>
        <v>246.53</v>
      </c>
      <c r="C195" s="163">
        <f t="shared" si="1"/>
        <v>-0.03883192327</v>
      </c>
      <c r="G195" s="74"/>
    </row>
    <row r="196">
      <c r="A196" s="169">
        <v>44878.0</v>
      </c>
      <c r="B196" s="162">
        <f>IFERROR(__xludf.DUMMYFUNCTION("INDEX(GOOGLEFINANCE('Income Statement'!$D$1,""price"",EDATE(TODAY(),-34)),2,2)"),256.49)</f>
        <v>256.49</v>
      </c>
      <c r="C196" s="163">
        <f t="shared" si="1"/>
        <v>-0.01091315749</v>
      </c>
      <c r="G196" s="74"/>
    </row>
    <row r="197">
      <c r="A197" s="169">
        <v>44847.0</v>
      </c>
      <c r="B197" s="162">
        <f>IFERROR(__xludf.DUMMYFUNCTION("INDEX(GOOGLEFINANCE('Income Statement'!$D$1,""price"",EDATE(TODAY(),-35)),2,2)"),259.32)</f>
        <v>259.32</v>
      </c>
      <c r="C197" s="163">
        <f t="shared" si="1"/>
        <v>-0.07326138232</v>
      </c>
      <c r="G197" s="74"/>
    </row>
    <row r="198">
      <c r="A198" s="169">
        <v>44818.0</v>
      </c>
      <c r="B198" s="162">
        <f>IFERROR(__xludf.DUMMYFUNCTION("INDEX(GOOGLEFINANCE('Income Statement'!$D$1,""price"",EDATE(TODAY(),-36)),2,2)"),279.82)</f>
        <v>279.82</v>
      </c>
      <c r="C198" s="163">
        <f t="shared" si="1"/>
        <v>0.2858784063</v>
      </c>
      <c r="G198" s="74"/>
    </row>
    <row r="199">
      <c r="A199" s="170">
        <v>44774.0</v>
      </c>
      <c r="B199" s="162">
        <f>IFERROR(__xludf.DUMMYFUNCTION("INDEX(GOOGLEFINANCE('Income Statement'!$D$1,""price"",EDATE(TODAY(),-37)),2,2)"),217.61)</f>
        <v>217.61</v>
      </c>
      <c r="C199" s="163">
        <f t="shared" si="1"/>
        <v>0.3548969554</v>
      </c>
      <c r="G199" s="74"/>
    </row>
    <row r="200">
      <c r="A200" s="169">
        <v>44758.0</v>
      </c>
      <c r="B200" s="162">
        <f>IFERROR(__xludf.DUMMYFUNCTION("INDEX(GOOGLEFINANCE('Income Statement'!$D$1,""price"",EDATE(TODAY(),-38)),2,2)"),160.61)</f>
        <v>160.61</v>
      </c>
      <c r="C200" s="163">
        <f t="shared" si="1"/>
        <v>-0.1753863531</v>
      </c>
      <c r="G200" s="74"/>
    </row>
    <row r="201">
      <c r="A201" s="169">
        <v>44729.0</v>
      </c>
      <c r="B201" s="162">
        <f>IFERROR(__xludf.DUMMYFUNCTION("INDEX(GOOGLEFINANCE('Income Statement'!$D$1,""price"",EDATE(TODAY(),-39)),2,2)"),194.77)</f>
        <v>194.77</v>
      </c>
      <c r="C201" s="163">
        <f t="shared" si="1"/>
        <v>-0.01526871935</v>
      </c>
      <c r="G201" s="74"/>
    </row>
    <row r="202">
      <c r="A202" s="169">
        <v>44699.0</v>
      </c>
      <c r="B202" s="162">
        <f>IFERROR(__xludf.DUMMYFUNCTION("INDEX(GOOGLEFINANCE('Income Statement'!$D$1,""price"",EDATE(TODAY(),-40)),2,2)"),197.79)</f>
        <v>197.79</v>
      </c>
      <c r="C202" s="163">
        <f t="shared" si="1"/>
        <v>0.04110959048</v>
      </c>
      <c r="G202" s="74"/>
    </row>
    <row r="203">
      <c r="A203" s="169">
        <v>44670.0</v>
      </c>
      <c r="B203" s="162">
        <f>IFERROR(__xludf.DUMMYFUNCTION("INDEX(GOOGLEFINANCE('Income Statement'!$D$1,""price"",EDATE(TODAY(),-41)),2,2)"),189.98)</f>
        <v>189.98</v>
      </c>
      <c r="C203" s="163">
        <f t="shared" si="1"/>
        <v>0.7574468085</v>
      </c>
      <c r="G203" s="74"/>
    </row>
    <row r="204">
      <c r="A204" s="169">
        <v>44640.0</v>
      </c>
      <c r="B204" s="162">
        <f>IFERROR(__xludf.DUMMYFUNCTION("INDEX(GOOGLEFINANCE('Income Statement'!$D$1,""price"",EDATE(TODAY(),-42)),2,2)"),108.1)</f>
        <v>108.1</v>
      </c>
      <c r="C204" s="163">
        <f t="shared" si="1"/>
        <v>-0.4075089065</v>
      </c>
      <c r="G204" s="74"/>
    </row>
    <row r="205">
      <c r="A205" s="169">
        <v>44613.0</v>
      </c>
      <c r="B205" s="162">
        <f>IFERROR(__xludf.DUMMYFUNCTION("INDEX(GOOGLEFINANCE('Income Statement'!$D$1,""price"",EDATE(TODAY(),-43)),2,2)"),182.45)</f>
        <v>182.45</v>
      </c>
      <c r="C205" s="163">
        <f t="shared" si="1"/>
        <v>-0.1526171567</v>
      </c>
    </row>
    <row r="206">
      <c r="A206" s="169">
        <v>44583.0</v>
      </c>
      <c r="B206" s="162">
        <f>IFERROR(__xludf.DUMMYFUNCTION("INDEX(GOOGLEFINANCE('Income Statement'!$D$1,""price"",EDATE(TODAY(),-44)),2,2)"),215.31)</f>
        <v>215.31</v>
      </c>
      <c r="C206" s="163">
        <f t="shared" si="1"/>
        <v>-0.1117574257</v>
      </c>
    </row>
    <row r="207">
      <c r="A207" s="169">
        <v>44553.0</v>
      </c>
      <c r="B207" s="162">
        <f>IFERROR(__xludf.DUMMYFUNCTION("INDEX(GOOGLEFINANCE('Income Statement'!$D$1,""price"",EDATE(TODAY(),-45)),2,2)"),242.4)</f>
        <v>242.4</v>
      </c>
      <c r="C207" s="163">
        <f t="shared" si="1"/>
        <v>-0.1166824575</v>
      </c>
    </row>
    <row r="208">
      <c r="A208" s="169">
        <v>44524.0</v>
      </c>
      <c r="B208" s="162">
        <f>IFERROR(__xludf.DUMMYFUNCTION("INDEX(GOOGLEFINANCE('Income Statement'!$D$1,""price"",EDATE(TODAY(),-46)),2,2)"),274.42)</f>
        <v>274.42</v>
      </c>
      <c r="C208" s="163">
        <f t="shared" si="1"/>
        <v>-0.1072869226</v>
      </c>
    </row>
    <row r="209">
      <c r="A209" s="169">
        <v>44494.0</v>
      </c>
      <c r="B209" s="162">
        <f>IFERROR(__xludf.DUMMYFUNCTION("INDEX(GOOGLEFINANCE('Income Statement'!$D$1,""price"",EDATE(TODAY(),-47)),2,2)"),307.4)</f>
        <v>307.4</v>
      </c>
      <c r="C209" s="163">
        <f t="shared" si="1"/>
        <v>0.3189170635</v>
      </c>
    </row>
    <row r="210">
      <c r="A210" s="169">
        <v>44465.0</v>
      </c>
      <c r="B210" s="162">
        <f>IFERROR(__xludf.DUMMYFUNCTION("INDEX(GOOGLEFINANCE('Income Statement'!$D$1,""price"",EDATE(TODAY(),-48)),2,2)"),233.07)</f>
        <v>233.07</v>
      </c>
      <c r="C210" s="163">
        <f t="shared" si="1"/>
        <v>-0.006182841549</v>
      </c>
    </row>
    <row r="211">
      <c r="A211" s="169">
        <v>44435.0</v>
      </c>
      <c r="B211" s="162">
        <f>IFERROR(__xludf.DUMMYFUNCTION("INDEX(GOOGLEFINANCE('Income Statement'!$D$1,""price"",EDATE(TODAY(),-49)),2,2)"),234.52)</f>
        <v>234.52</v>
      </c>
      <c r="C211" s="163">
        <f t="shared" si="1"/>
        <v>-0.2262109014</v>
      </c>
    </row>
    <row r="212">
      <c r="A212" s="169">
        <v>44405.0</v>
      </c>
      <c r="B212" s="162">
        <f>IFERROR(__xludf.DUMMYFUNCTION("INDEX(GOOGLEFINANCE('Income Statement'!$D$1,""price"",EDATE(TODAY(),-50)),2,2)"),303.08)</f>
        <v>303.08</v>
      </c>
      <c r="C212" s="163">
        <f t="shared" si="1"/>
        <v>-0.2062228275</v>
      </c>
    </row>
    <row r="213">
      <c r="A213" s="169">
        <v>44376.0</v>
      </c>
      <c r="B213" s="162">
        <f>IFERROR(__xludf.DUMMYFUNCTION("INDEX(GOOGLEFINANCE('Income Statement'!$D$1,""price"",EDATE(TODAY(),-51)),2,2)"),381.82)</f>
        <v>381.82</v>
      </c>
      <c r="C213" s="163">
        <f t="shared" si="1"/>
        <v>0.3648126966</v>
      </c>
    </row>
    <row r="214">
      <c r="A214" s="169">
        <v>44346.0</v>
      </c>
      <c r="B214" s="162">
        <f>IFERROR(__xludf.DUMMYFUNCTION("INDEX(GOOGLEFINANCE('Income Statement'!$D$1,""price"",EDATE(TODAY(),-52)),2,2)"),279.76)</f>
        <v>279.76</v>
      </c>
      <c r="C214" s="163">
        <f t="shared" si="1"/>
        <v>-0.05820568928</v>
      </c>
    </row>
    <row r="215">
      <c r="A215" s="169">
        <v>44287.0</v>
      </c>
      <c r="B215" s="162">
        <f>IFERROR(__xludf.DUMMYFUNCTION("INDEX(GOOGLEFINANCE('Income Statement'!$D$1,""price"",EDATE(TODAY(),-53)),2,2)"),297.05)</f>
        <v>297.05</v>
      </c>
      <c r="C215" s="163">
        <f t="shared" si="1"/>
        <v>-0.2572450179</v>
      </c>
    </row>
    <row r="216">
      <c r="A216" s="169">
        <v>44257.0</v>
      </c>
      <c r="B216" s="162">
        <f>IFERROR(__xludf.DUMMYFUNCTION("INDEX(GOOGLEFINANCE('Income Statement'!$D$1,""price"",EDATE(TODAY(),-54)),2,2)"),399.93)</f>
        <v>399.93</v>
      </c>
      <c r="C216" s="163">
        <f t="shared" si="1"/>
        <v>0.1821056987</v>
      </c>
    </row>
    <row r="217">
      <c r="A217" s="169">
        <v>44230.0</v>
      </c>
      <c r="B217" s="162">
        <f>IFERROR(__xludf.DUMMYFUNCTION("INDEX(GOOGLEFINANCE('Income Statement'!$D$1,""price"",EDATE(TODAY(),-55)),2,2)"),338.32)</f>
        <v>338.32</v>
      </c>
      <c r="C217" s="163">
        <f t="shared" si="1"/>
        <v>-0.1638574465</v>
      </c>
    </row>
    <row r="218">
      <c r="A218" s="169">
        <v>44200.0</v>
      </c>
      <c r="B218" s="162">
        <f>IFERROR(__xludf.DUMMYFUNCTION("INDEX(GOOGLEFINANCE('Income Statement'!$D$1,""price"",EDATE(TODAY(),-56)),2,2)"),404.62)</f>
        <v>404.62</v>
      </c>
      <c r="C218" s="163">
        <f t="shared" si="1"/>
        <v>0.5531841388</v>
      </c>
    </row>
    <row r="219">
      <c r="A219" s="169">
        <v>44170.0</v>
      </c>
      <c r="B219" s="162">
        <f>IFERROR(__xludf.DUMMYFUNCTION("INDEX(GOOGLEFINANCE('Income Statement'!$D$1,""price"",EDATE(TODAY(),-57)),2,2)"),260.51)</f>
        <v>260.51</v>
      </c>
      <c r="C219" s="163">
        <f t="shared" si="1"/>
        <v>0.06539342385</v>
      </c>
    </row>
    <row r="220">
      <c r="A220" s="169">
        <v>44141.0</v>
      </c>
      <c r="B220" s="162">
        <f>IFERROR(__xludf.DUMMYFUNCTION("INDEX(GOOGLEFINANCE('Income Statement'!$D$1,""price"",EDATE(TODAY(),-58)),2,2)"),244.52)</f>
        <v>244.52</v>
      </c>
      <c r="C220" s="163">
        <f t="shared" si="1"/>
        <v>0.03356158593</v>
      </c>
    </row>
    <row r="221">
      <c r="A221" s="169">
        <v>44111.0</v>
      </c>
      <c r="B221" s="162">
        <f>IFERROR(__xludf.DUMMYFUNCTION("INDEX(GOOGLEFINANCE('Income Statement'!$D$1,""price"",EDATE(TODAY(),-59)),2,2)"),236.58)</f>
        <v>236.58</v>
      </c>
      <c r="C221" s="163">
        <f t="shared" si="1"/>
        <v>0.07604839443</v>
      </c>
    </row>
    <row r="222">
      <c r="A222" s="169">
        <v>44082.0</v>
      </c>
      <c r="B222" s="162">
        <f>IFERROR(__xludf.DUMMYFUNCTION("INDEX(GOOGLEFINANCE('Income Statement'!$D$1,""price"",EDATE(TODAY(),-60)),2,2)"),219.86)</f>
        <v>219.86</v>
      </c>
      <c r="C222" s="163">
        <f t="shared" si="1"/>
        <v>0.1514008903</v>
      </c>
    </row>
    <row r="223">
      <c r="A223" s="169">
        <v>44052.0</v>
      </c>
      <c r="B223" s="162">
        <f>IFERROR(__xludf.DUMMYFUNCTION("INDEX(GOOGLEFINANCE('Income Statement'!$D$1,""price"",EDATE(TODAY(),-61)),2,2)"),190.95)</f>
        <v>190.95</v>
      </c>
      <c r="C223" s="163">
        <f t="shared" si="1"/>
        <v>-0.1636005256</v>
      </c>
    </row>
    <row r="224">
      <c r="A224" s="169">
        <v>44022.0</v>
      </c>
      <c r="B224" s="162">
        <f>IFERROR(__xludf.DUMMYFUNCTION("INDEX(GOOGLEFINANCE('Income Statement'!$D$1,""price"",EDATE(TODAY(),-62)),2,2)"),228.3)</f>
        <v>228.3</v>
      </c>
      <c r="C224" s="163">
        <f t="shared" si="1"/>
        <v>-0.00889950076</v>
      </c>
    </row>
    <row r="225">
      <c r="A225" s="169">
        <v>43993.0</v>
      </c>
      <c r="B225" s="162">
        <f>IFERROR(__xludf.DUMMYFUNCTION("INDEX(GOOGLEFINANCE('Income Statement'!$D$1,""price"",EDATE(TODAY(),-63)),2,2)"),230.35)</f>
        <v>230.35</v>
      </c>
      <c r="C225" s="163">
        <f t="shared" si="1"/>
        <v>0.05796169568</v>
      </c>
    </row>
    <row r="226">
      <c r="A226" s="169">
        <v>43963.0</v>
      </c>
      <c r="B226" s="162">
        <f>IFERROR(__xludf.DUMMYFUNCTION("INDEX(GOOGLEFINANCE('Income Statement'!$D$1,""price"",EDATE(TODAY(),-64)),2,2)"),217.73)</f>
        <v>217.73</v>
      </c>
      <c r="C226" s="163">
        <f t="shared" si="1"/>
        <v>-0.2357669358</v>
      </c>
    </row>
    <row r="227">
      <c r="A227" s="169">
        <v>43934.0</v>
      </c>
      <c r="B227" s="162">
        <f>IFERROR(__xludf.DUMMYFUNCTION("INDEX(GOOGLEFINANCE('Income Statement'!$D$1,""price"",EDATE(TODAY(),-65)),2,2)"),284.9)</f>
        <v>284.9</v>
      </c>
      <c r="C227" s="163">
        <f t="shared" si="1"/>
        <v>0.1711748746</v>
      </c>
    </row>
    <row r="228">
      <c r="A228" s="169">
        <v>43904.0</v>
      </c>
      <c r="B228" s="162">
        <f>IFERROR(__xludf.DUMMYFUNCTION("INDEX(GOOGLEFINANCE('Income Statement'!$D$1,""price"",EDATE(TODAY(),-66)),2,2)"),243.26)</f>
        <v>243.26</v>
      </c>
      <c r="C228" s="163">
        <f t="shared" si="1"/>
        <v>0.2298902877</v>
      </c>
    </row>
    <row r="229">
      <c r="A229" s="169">
        <v>43876.0</v>
      </c>
      <c r="B229" s="162">
        <f>IFERROR(__xludf.DUMMYFUNCTION("INDEX(GOOGLEFINANCE('Income Statement'!$D$1,""price"",EDATE(TODAY(),-67)),2,2)"),197.79)</f>
        <v>197.79</v>
      </c>
      <c r="C229" s="163">
        <f t="shared" si="1"/>
        <v>0.3997876858</v>
      </c>
    </row>
    <row r="230">
      <c r="A230" s="169">
        <v>43846.0</v>
      </c>
      <c r="B230" s="162">
        <f>IFERROR(__xludf.DUMMYFUNCTION("INDEX(GOOGLEFINANCE('Income Statement'!$D$1,""price"",EDATE(TODAY(),-68)),2,2)"),141.3)</f>
        <v>141.3</v>
      </c>
      <c r="C230" s="160" t="s">
        <v>19</v>
      </c>
    </row>
    <row r="231">
      <c r="A231" s="169"/>
      <c r="B231" s="162"/>
      <c r="C231" s="163"/>
    </row>
    <row r="232">
      <c r="A232" s="169"/>
      <c r="B232" s="162"/>
      <c r="C232" s="160"/>
    </row>
    <row r="234">
      <c r="A234" s="160" t="s">
        <v>117</v>
      </c>
      <c r="B234" s="160" t="s">
        <v>115</v>
      </c>
      <c r="C234" s="160" t="s">
        <v>116</v>
      </c>
    </row>
    <row r="235">
      <c r="A235" s="161">
        <v>45901.0</v>
      </c>
      <c r="B235" s="162">
        <f>IFERROR(__xludf.DUMMYFUNCTION("GOOGLEFINANCE("".inx"")"),7483.24)</f>
        <v>7483.24</v>
      </c>
      <c r="C235" s="163">
        <f t="shared" ref="C235:C302" si="2">B235/B236-1</f>
        <v>-0.009325256034</v>
      </c>
    </row>
    <row r="236">
      <c r="A236" s="161">
        <v>45870.0</v>
      </c>
      <c r="B236" s="162">
        <f>IFERROR(__xludf.DUMMYFUNCTION("INDEX(GOOGLEFINANCE("".inx"",""price"",EDATE(TODAY(),-1)),2,2)"),7553.68)</f>
        <v>7553.68</v>
      </c>
      <c r="C236" s="163">
        <f t="shared" si="2"/>
        <v>0.04901295004</v>
      </c>
    </row>
    <row r="237">
      <c r="A237" s="161">
        <v>45839.0</v>
      </c>
      <c r="B237" s="162">
        <f>IFERROR(__xludf.DUMMYFUNCTION("INDEX(GOOGLEFINANCE("".inx"",""price"",EDATE(TODAY(),-2)),2,2)"),7200.75)</f>
        <v>7200.75</v>
      </c>
      <c r="C237" s="163">
        <f t="shared" si="2"/>
        <v>0.08907065064</v>
      </c>
    </row>
    <row r="238">
      <c r="A238" s="161">
        <v>45809.0</v>
      </c>
      <c r="B238" s="162">
        <f>IFERROR(__xludf.DUMMYFUNCTION("INDEX(GOOGLEFINANCE("".inx"",""price"",EDATE(TODAY(),-3)),2,2)"),6611.83)</f>
        <v>6611.83</v>
      </c>
      <c r="C238" s="163">
        <f t="shared" si="2"/>
        <v>-0.03004417139</v>
      </c>
    </row>
    <row r="239">
      <c r="A239" s="161">
        <v>45778.0</v>
      </c>
      <c r="B239" s="162">
        <f>IFERROR(__xludf.DUMMYFUNCTION("INDEX(GOOGLEFINANCE("".inx"",""price"",EDATE(TODAY(),-4)),2,2)"),6816.63)</f>
        <v>6816.63</v>
      </c>
      <c r="C239" s="163">
        <f t="shared" si="2"/>
        <v>-0.01462601604</v>
      </c>
    </row>
    <row r="240">
      <c r="A240" s="161">
        <v>45748.0</v>
      </c>
      <c r="B240" s="162">
        <f>IFERROR(__xludf.DUMMYFUNCTION("INDEX(GOOGLEFINANCE("".inx"",""price"",EDATE(TODAY(),-5)),2,2)"),6917.81)</f>
        <v>6917.81</v>
      </c>
      <c r="C240" s="163">
        <f t="shared" si="2"/>
        <v>0.002283379576</v>
      </c>
    </row>
    <row r="241">
      <c r="A241" s="161">
        <v>45717.0</v>
      </c>
      <c r="B241" s="162">
        <f>IFERROR(__xludf.DUMMYFUNCTION("INDEX(GOOGLEFINANCE("".inx"",""price"",EDATE(TODAY(),-6)),2,2)"),6902.05)</f>
        <v>6902.05</v>
      </c>
      <c r="C241" s="163">
        <f t="shared" si="2"/>
        <v>0.007639728339</v>
      </c>
    </row>
    <row r="242">
      <c r="A242" s="161">
        <v>45689.0</v>
      </c>
      <c r="B242" s="162">
        <f>IFERROR(__xludf.DUMMYFUNCTION("INDEX(GOOGLEFINANCE("".inx"",""price"",EDATE(TODAY(),-7)),2,2)"),6849.72)</f>
        <v>6849.72</v>
      </c>
      <c r="C242" s="163">
        <f t="shared" si="2"/>
        <v>-0.0003283727162</v>
      </c>
    </row>
    <row r="243">
      <c r="A243" s="161">
        <v>45658.0</v>
      </c>
      <c r="B243" s="162">
        <f>IFERROR(__xludf.DUMMYFUNCTION("INDEX(GOOGLEFINANCE("".inx"",""price"",EDATE(TODAY(),-8)),2,2)"),6851.97)</f>
        <v>6851.97</v>
      </c>
      <c r="C243" s="163">
        <f t="shared" si="2"/>
        <v>0.02027758462</v>
      </c>
    </row>
    <row r="244">
      <c r="A244" s="167">
        <v>45627.0</v>
      </c>
      <c r="B244" s="162">
        <f>IFERROR(__xludf.DUMMYFUNCTION("INDEX(GOOGLEFINANCE("".inx"",""price"",EDATE(TODAY(),-9)),2,2)"),6715.79)</f>
        <v>6715.79</v>
      </c>
      <c r="C244" s="163">
        <f t="shared" si="2"/>
        <v>0.04148871168</v>
      </c>
    </row>
    <row r="245">
      <c r="A245" s="167">
        <v>45597.0</v>
      </c>
      <c r="B245" s="162">
        <f>IFERROR(__xludf.DUMMYFUNCTION("INDEX(GOOGLEFINANCE("".inx"",""price"",EDATE(TODAY(),-10)),2,2)"),6448.26)</f>
        <v>6448.26</v>
      </c>
      <c r="C245" s="163">
        <f t="shared" si="2"/>
        <v>0.0186921203</v>
      </c>
    </row>
    <row r="246">
      <c r="A246" s="167">
        <v>45566.0</v>
      </c>
      <c r="B246" s="162">
        <f>IFERROR(__xludf.DUMMYFUNCTION("INDEX(GOOGLEFINANCE("".inx"",""price"",EDATE(TODAY(),-11)),2,2)"),6329.94)</f>
        <v>6329.94</v>
      </c>
      <c r="C246" s="163">
        <f t="shared" si="2"/>
        <v>0.008056566364</v>
      </c>
    </row>
    <row r="247">
      <c r="A247" s="161">
        <v>45536.0</v>
      </c>
      <c r="B247" s="162">
        <f>IFERROR(__xludf.DUMMYFUNCTION("INDEX(GOOGLEFINANCE("".inx"",""price"",EDATE(TODAY(),-12)),2,2)"),6279.35)</f>
        <v>6279.35</v>
      </c>
      <c r="C247" s="163">
        <f t="shared" si="2"/>
        <v>0.05175223646</v>
      </c>
    </row>
    <row r="248">
      <c r="A248" s="161">
        <v>45505.0</v>
      </c>
      <c r="B248" s="162">
        <f>IFERROR(__xludf.DUMMYFUNCTION("INDEX(GOOGLEFINANCE("".inx"",""price"",EDATE(TODAY(),-13)),2,2)"),5970.37)</f>
        <v>5970.37</v>
      </c>
      <c r="C248" s="163">
        <f t="shared" si="2"/>
        <v>0.05663158938</v>
      </c>
    </row>
    <row r="249">
      <c r="A249" s="161">
        <v>45474.0</v>
      </c>
      <c r="B249" s="162">
        <f>IFERROR(__xludf.DUMMYFUNCTION("INDEX(GOOGLEFINANCE("".inx"",""price"",EDATE(TODAY(),-14)),2,2)"),5650.38)</f>
        <v>5650.38</v>
      </c>
      <c r="C249" s="163">
        <f t="shared" si="2"/>
        <v>0.0470414267</v>
      </c>
    </row>
    <row r="250">
      <c r="A250" s="161">
        <v>45444.0</v>
      </c>
      <c r="B250" s="162">
        <f>IFERROR(__xludf.DUMMYFUNCTION("INDEX(GOOGLEFINANCE("".inx"",""price"",EDATE(TODAY(),-15)),2,2)"),5396.52)</f>
        <v>5396.52</v>
      </c>
      <c r="C250" s="163">
        <f t="shared" si="2"/>
        <v>-0.07747379362</v>
      </c>
    </row>
    <row r="251">
      <c r="A251" s="161">
        <v>45413.0</v>
      </c>
      <c r="B251" s="162">
        <f>IFERROR(__xludf.DUMMYFUNCTION("INDEX(GOOGLEFINANCE("".inx"",""price"",EDATE(TODAY(),-16)),2,2)"),5849.72)</f>
        <v>5849.72</v>
      </c>
      <c r="C251" s="163">
        <f t="shared" si="2"/>
        <v>-0.02416353467</v>
      </c>
    </row>
    <row r="252">
      <c r="A252" s="161">
        <v>45383.0</v>
      </c>
      <c r="B252" s="162">
        <f>IFERROR(__xludf.DUMMYFUNCTION("INDEX(GOOGLEFINANCE("".inx"",""price"",EDATE(TODAY(),-17)),2,2)"),5994.57)</f>
        <v>5994.57</v>
      </c>
      <c r="C252" s="163">
        <f t="shared" si="2"/>
        <v>0.008767398068</v>
      </c>
    </row>
    <row r="253">
      <c r="A253" s="161">
        <v>45352.0</v>
      </c>
      <c r="B253" s="162">
        <f>IFERROR(__xludf.DUMMYFUNCTION("INDEX(GOOGLEFINANCE("".inx"",""price"",EDATE(TODAY(),-18)),2,2)"),5942.47)</f>
        <v>5942.47</v>
      </c>
      <c r="C253" s="163">
        <f t="shared" si="2"/>
        <v>-0.01775407116</v>
      </c>
    </row>
    <row r="254">
      <c r="A254" s="168">
        <v>45323.0</v>
      </c>
      <c r="B254" s="162">
        <f>IFERROR(__xludf.DUMMYFUNCTION("INDEX(GOOGLEFINANCE("".inx"",""price"",EDATE(TODAY(),-19)),2,2)"),6049.88)</f>
        <v>6049.88</v>
      </c>
      <c r="C254" s="163">
        <f t="shared" si="2"/>
        <v>0.05902473266</v>
      </c>
    </row>
    <row r="255">
      <c r="A255" s="169">
        <v>45292.0</v>
      </c>
      <c r="B255" s="162">
        <f>IFERROR(__xludf.DUMMYFUNCTION("INDEX(GOOGLEFINANCE("".inx"",""price"",EDATE(TODAY(),-20)),2,2)"),5712.69)</f>
        <v>5712.69</v>
      </c>
      <c r="C255" s="163">
        <f t="shared" si="2"/>
        <v>0.002236865651</v>
      </c>
    </row>
    <row r="256">
      <c r="A256" s="169">
        <v>45261.0</v>
      </c>
      <c r="B256" s="162">
        <f>IFERROR(__xludf.DUMMYFUNCTION("INDEX(GOOGLEFINANCE("".inx"",""price"",EDATE(TODAY(),-21)),2,2)"),5699.94)</f>
        <v>5699.94</v>
      </c>
      <c r="C256" s="163">
        <f t="shared" si="2"/>
        <v>0.03093003529</v>
      </c>
    </row>
    <row r="257">
      <c r="A257" s="169">
        <v>45232.0</v>
      </c>
      <c r="B257" s="162">
        <f>IFERROR(__xludf.DUMMYFUNCTION("INDEX(GOOGLEFINANCE("".inx"",""price"",EDATE(TODAY(),-22)),2,2)"),5528.93)</f>
        <v>5528.93</v>
      </c>
      <c r="C257" s="163">
        <f t="shared" si="2"/>
        <v>0.06605827242</v>
      </c>
    </row>
    <row r="258">
      <c r="A258" s="169">
        <v>45202.0</v>
      </c>
      <c r="B258" s="162">
        <f>IFERROR(__xludf.DUMMYFUNCTION("INDEX(GOOGLEFINANCE("".inx"",""price"",EDATE(TODAY(),-23)),2,2)"),5186.33)</f>
        <v>5186.33</v>
      </c>
      <c r="C258" s="163">
        <f t="shared" si="2"/>
        <v>-0.0633355126</v>
      </c>
    </row>
    <row r="259">
      <c r="A259" s="169">
        <v>45173.0</v>
      </c>
      <c r="B259" s="162">
        <f>IFERROR(__xludf.DUMMYFUNCTION("INDEX(GOOGLEFINANCE("".inx"",""price"",EDATE(TODAY(),-24)),2,2)"),5537.02)</f>
        <v>5537.02</v>
      </c>
      <c r="C259" s="163">
        <f t="shared" si="2"/>
        <v>0.04800317977</v>
      </c>
    </row>
    <row r="260">
      <c r="A260" s="169">
        <v>45143.0</v>
      </c>
      <c r="B260" s="162">
        <f>IFERROR(__xludf.DUMMYFUNCTION("INDEX(GOOGLEFINANCE("".inx"",""price"",EDATE(TODAY(),-25)),2,2)"),5283.4)</f>
        <v>5283.4</v>
      </c>
      <c r="C260" s="163">
        <f t="shared" si="2"/>
        <v>0.03034640654</v>
      </c>
    </row>
    <row r="261">
      <c r="A261" s="169">
        <v>45113.0</v>
      </c>
      <c r="B261" s="162">
        <f>IFERROR(__xludf.DUMMYFUNCTION("INDEX(GOOGLEFINANCE("".inx"",""price"",EDATE(TODAY(),-26)),2,2)"),5127.79)</f>
        <v>5127.79</v>
      </c>
      <c r="C261" s="163">
        <f t="shared" si="2"/>
        <v>-0.01606066595</v>
      </c>
    </row>
    <row r="262">
      <c r="A262" s="169">
        <v>45084.0</v>
      </c>
      <c r="B262" s="162">
        <f>IFERROR(__xludf.DUMMYFUNCTION("INDEX(GOOGLEFINANCE("".inx"",""price"",EDATE(TODAY(),-27)),2,2)"),5211.49)</f>
        <v>5211.49</v>
      </c>
      <c r="C262" s="163">
        <f t="shared" si="2"/>
        <v>0.01569689824</v>
      </c>
    </row>
    <row r="263">
      <c r="A263" s="169">
        <v>45054.0</v>
      </c>
      <c r="B263" s="162">
        <f>IFERROR(__xludf.DUMMYFUNCTION("INDEX(GOOGLEFINANCE("".inx"",""price"",EDATE(TODAY(),-28)),2,2)"),5130.95)</f>
        <v>5130.95</v>
      </c>
      <c r="C263" s="163">
        <f t="shared" si="2"/>
        <v>0.03806336881</v>
      </c>
    </row>
    <row r="264">
      <c r="A264" s="169">
        <v>45025.0</v>
      </c>
      <c r="B264" s="162">
        <f>IFERROR(__xludf.DUMMYFUNCTION("INDEX(GOOGLEFINANCE("".inx"",""price"",EDATE(TODAY(),-29)),2,2)"),4942.81)</f>
        <v>4942.81</v>
      </c>
      <c r="C264" s="163">
        <f t="shared" si="2"/>
        <v>0.0505865274</v>
      </c>
    </row>
    <row r="265">
      <c r="A265" s="169">
        <v>44995.0</v>
      </c>
      <c r="B265" s="162">
        <f>IFERROR(__xludf.DUMMYFUNCTION("INDEX(GOOGLEFINANCE("".inx"",""price"",EDATE(TODAY(),-30)),2,2)"),4704.81)</f>
        <v>4704.81</v>
      </c>
      <c r="C265" s="163">
        <f t="shared" si="2"/>
        <v>0.02954846842</v>
      </c>
    </row>
    <row r="266">
      <c r="A266" s="169">
        <v>44968.0</v>
      </c>
      <c r="B266" s="162">
        <f>IFERROR(__xludf.DUMMYFUNCTION("INDEX(GOOGLEFINANCE("".inx"",""price"",EDATE(TODAY(),-31)),2,2)"),4569.78)</f>
        <v>4569.78</v>
      </c>
      <c r="C266" s="163">
        <f t="shared" si="2"/>
        <v>0.04851388373</v>
      </c>
    </row>
    <row r="267">
      <c r="A267" s="169">
        <v>44938.0</v>
      </c>
      <c r="B267" s="162">
        <f>IFERROR(__xludf.DUMMYFUNCTION("INDEX(GOOGLEFINANCE("".inx"",""price"",EDATE(TODAY(),-32)),2,2)"),4358.34)</f>
        <v>4358.34</v>
      </c>
      <c r="C267" s="163">
        <f t="shared" si="2"/>
        <v>0.03047441157</v>
      </c>
    </row>
    <row r="268">
      <c r="A268" s="169">
        <v>44908.0</v>
      </c>
      <c r="B268" s="162">
        <f>IFERROR(__xludf.DUMMYFUNCTION("INDEX(GOOGLEFINANCE("".inx"",""price"",EDATE(TODAY(),-33)),2,2)"),4229.45)</f>
        <v>4229.45</v>
      </c>
      <c r="C268" s="163">
        <f t="shared" si="2"/>
        <v>-0.05945966381</v>
      </c>
    </row>
    <row r="269">
      <c r="A269" s="169">
        <v>44878.0</v>
      </c>
      <c r="B269" s="162">
        <f>IFERROR(__xludf.DUMMYFUNCTION("INDEX(GOOGLEFINANCE("".inx"",""price"",EDATE(TODAY(),-34)),2,2)"),4496.83)</f>
        <v>4496.83</v>
      </c>
      <c r="C269" s="163">
        <f t="shared" si="2"/>
        <v>-0.001123972376</v>
      </c>
    </row>
    <row r="270">
      <c r="A270" s="169">
        <v>44847.0</v>
      </c>
      <c r="B270" s="162">
        <f>IFERROR(__xludf.DUMMYFUNCTION("INDEX(GOOGLEFINANCE("".inx"",""price"",EDATE(TODAY(),-35)),2,2)"),4501.89)</f>
        <v>4501.89</v>
      </c>
      <c r="C270" s="163">
        <f t="shared" si="2"/>
        <v>0.01039144086</v>
      </c>
    </row>
    <row r="271">
      <c r="A271" s="169">
        <v>44818.0</v>
      </c>
      <c r="B271" s="162">
        <f>IFERROR(__xludf.DUMMYFUNCTION("INDEX(GOOGLEFINANCE("".inx"",""price"",EDATE(TODAY(),-36)),2,2)"),4455.59)</f>
        <v>4455.59</v>
      </c>
      <c r="C271" s="163">
        <f t="shared" si="2"/>
        <v>0.04253835589</v>
      </c>
    </row>
    <row r="272">
      <c r="A272" s="170">
        <v>44774.0</v>
      </c>
      <c r="B272" s="162">
        <f>IFERROR(__xludf.DUMMYFUNCTION("INDEX(GOOGLEFINANCE("".inx"",""price"",EDATE(TODAY(),-37)),2,2)"),4273.79)</f>
        <v>4273.79</v>
      </c>
      <c r="C272" s="163">
        <f t="shared" si="2"/>
        <v>0.04474485119</v>
      </c>
    </row>
    <row r="273">
      <c r="A273" s="169">
        <v>44758.0</v>
      </c>
      <c r="B273" s="162">
        <f>IFERROR(__xludf.DUMMYFUNCTION("INDEX(GOOGLEFINANCE("".inx"",""price"",EDATE(TODAY(),-38)),2,2)"),4090.75)</f>
        <v>4090.75</v>
      </c>
      <c r="C273" s="163">
        <f t="shared" si="2"/>
        <v>-0.008185214729</v>
      </c>
    </row>
    <row r="274">
      <c r="A274" s="169">
        <v>44729.0</v>
      </c>
      <c r="B274" s="162">
        <f>IFERROR(__xludf.DUMMYFUNCTION("INDEX(GOOGLEFINANCE("".inx"",""price"",EDATE(TODAY(),-39)),2,2)"),4124.51)</f>
        <v>4124.51</v>
      </c>
      <c r="C274" s="163">
        <f t="shared" si="2"/>
        <v>0.01949506135</v>
      </c>
    </row>
    <row r="275">
      <c r="A275" s="169">
        <v>44699.0</v>
      </c>
      <c r="B275" s="162">
        <f>IFERROR(__xludf.DUMMYFUNCTION("INDEX(GOOGLEFINANCE("".inx"",""price"",EDATE(TODAY(),-40)),2,2)"),4045.64)</f>
        <v>4045.64</v>
      </c>
      <c r="C275" s="163">
        <f t="shared" si="2"/>
        <v>-0.02196070089</v>
      </c>
    </row>
    <row r="276">
      <c r="A276" s="169">
        <v>44670.0</v>
      </c>
      <c r="B276" s="162">
        <f>IFERROR(__xludf.DUMMYFUNCTION("INDEX(GOOGLEFINANCE("".inx"",""price"",EDATE(TODAY(),-41)),2,2)"),4136.48)</f>
        <v>4136.48</v>
      </c>
      <c r="C276" s="163">
        <f t="shared" si="2"/>
        <v>0.08167588007</v>
      </c>
    </row>
    <row r="277">
      <c r="A277" s="169">
        <v>44640.0</v>
      </c>
      <c r="B277" s="162">
        <f>IFERROR(__xludf.DUMMYFUNCTION("INDEX(GOOGLEFINANCE("".inx"",""price"",EDATE(TODAY(),-42)),2,2)"),3824.14)</f>
        <v>3824.14</v>
      </c>
      <c r="C277" s="163">
        <f t="shared" si="2"/>
        <v>-0.04368766942</v>
      </c>
    </row>
    <row r="278">
      <c r="A278" s="169">
        <v>44613.0</v>
      </c>
      <c r="B278" s="162">
        <f>IFERROR(__xludf.DUMMYFUNCTION("INDEX(GOOGLEFINANCE("".inx"",""price"",EDATE(TODAY(),-43)),2,2)"),3998.84)</f>
        <v>3998.84</v>
      </c>
      <c r="C278" s="163">
        <f t="shared" si="2"/>
        <v>0.07498877655</v>
      </c>
    </row>
    <row r="279">
      <c r="A279" s="169">
        <v>44583.0</v>
      </c>
      <c r="B279" s="162">
        <f>IFERROR(__xludf.DUMMYFUNCTION("INDEX(GOOGLEFINANCE("".inx"",""price"",EDATE(TODAY(),-44)),2,2)"),3719.89)</f>
        <v>3719.89</v>
      </c>
      <c r="C279" s="163">
        <f t="shared" si="2"/>
        <v>0.01127111295</v>
      </c>
    </row>
    <row r="280">
      <c r="A280" s="169">
        <v>44553.0</v>
      </c>
      <c r="B280" s="162">
        <f>IFERROR(__xludf.DUMMYFUNCTION("INDEX(GOOGLEFINANCE("".inx"",""price"",EDATE(TODAY(),-45)),2,2)"),3678.43)</f>
        <v>3678.43</v>
      </c>
      <c r="C280" s="163">
        <f t="shared" si="2"/>
        <v>-0.05878936285</v>
      </c>
    </row>
    <row r="281">
      <c r="A281" s="169">
        <v>44524.0</v>
      </c>
      <c r="B281" s="162">
        <f>IFERROR(__xludf.DUMMYFUNCTION("INDEX(GOOGLEFINANCE("".inx"",""price"",EDATE(TODAY(),-46)),2,2)"),3908.19)</f>
        <v>3908.19</v>
      </c>
      <c r="C281" s="163">
        <f t="shared" si="2"/>
        <v>-0.05943920465</v>
      </c>
    </row>
    <row r="282">
      <c r="A282" s="169">
        <v>44494.0</v>
      </c>
      <c r="B282" s="162">
        <f>IFERROR(__xludf.DUMMYFUNCTION("INDEX(GOOGLEFINANCE("".inx"",""price"",EDATE(TODAY(),-47)),2,2)"),4155.17)</f>
        <v>4155.17</v>
      </c>
      <c r="C282" s="163">
        <f t="shared" si="2"/>
        <v>0.0845071893</v>
      </c>
    </row>
    <row r="283">
      <c r="A283" s="169">
        <v>44465.0</v>
      </c>
      <c r="B283" s="162">
        <f>IFERROR(__xludf.DUMMYFUNCTION("INDEX(GOOGLEFINANCE("".inx"",""price"",EDATE(TODAY(),-48)),2,2)"),3831.39)</f>
        <v>3831.39</v>
      </c>
      <c r="C283" s="163">
        <f t="shared" si="2"/>
        <v>-0.06745705287</v>
      </c>
    </row>
    <row r="284">
      <c r="A284" s="169">
        <v>44435.0</v>
      </c>
      <c r="B284" s="162">
        <f>IFERROR(__xludf.DUMMYFUNCTION("INDEX(GOOGLEFINANCE("".inx"",""price"",EDATE(TODAY(),-49)),2,2)"),4108.54)</f>
        <v>4108.54</v>
      </c>
      <c r="C284" s="163">
        <f t="shared" si="2"/>
        <v>-0.01603168977</v>
      </c>
    </row>
    <row r="285">
      <c r="A285" s="169">
        <v>44405.0</v>
      </c>
      <c r="B285" s="162">
        <f>IFERROR(__xludf.DUMMYFUNCTION("INDEX(GOOGLEFINANCE("".inx"",""price"",EDATE(TODAY(),-50)),2,2)"),4175.48)</f>
        <v>4175.48</v>
      </c>
      <c r="C285" s="163">
        <f t="shared" si="2"/>
        <v>-0.08884834942</v>
      </c>
    </row>
    <row r="286">
      <c r="A286" s="169">
        <v>44376.0</v>
      </c>
      <c r="B286" s="162">
        <f>IFERROR(__xludf.DUMMYFUNCTION("INDEX(GOOGLEFINANCE("".inx"",""price"",EDATE(TODAY(),-51)),2,2)"),4582.64)</f>
        <v>4582.64</v>
      </c>
      <c r="C286" s="163">
        <f t="shared" si="2"/>
        <v>0.05022355958</v>
      </c>
    </row>
    <row r="287">
      <c r="A287" s="169">
        <v>44346.0</v>
      </c>
      <c r="B287" s="162">
        <f>IFERROR(__xludf.DUMMYFUNCTION("INDEX(GOOGLEFINANCE("".inx"",""price"",EDATE(TODAY(),-52)),2,2)"),4363.49)</f>
        <v>4363.49</v>
      </c>
      <c r="C287" s="163">
        <f t="shared" si="2"/>
        <v>-0.02544981061</v>
      </c>
    </row>
    <row r="288">
      <c r="A288" s="169">
        <v>44287.0</v>
      </c>
      <c r="B288" s="162">
        <f>IFERROR(__xludf.DUMMYFUNCTION("INDEX(GOOGLEFINANCE("".inx"",""price"",EDATE(TODAY(),-53)),2,2)"),4477.44)</f>
        <v>4477.44</v>
      </c>
      <c r="C288" s="163">
        <f t="shared" si="2"/>
        <v>-0.06653101389</v>
      </c>
    </row>
    <row r="289">
      <c r="A289" s="169">
        <v>44257.0</v>
      </c>
      <c r="B289" s="162">
        <f>IFERROR(__xludf.DUMMYFUNCTION("INDEX(GOOGLEFINANCE("".inx"",""price"",EDATE(TODAY(),-54)),2,2)"),4796.56)</f>
        <v>4796.56</v>
      </c>
      <c r="C289" s="163">
        <f t="shared" si="2"/>
        <v>0.05687649694</v>
      </c>
    </row>
    <row r="290">
      <c r="A290" s="169">
        <v>44230.0</v>
      </c>
      <c r="B290" s="162">
        <f>IFERROR(__xludf.DUMMYFUNCTION("INDEX(GOOGLEFINANCE("".inx"",""price"",EDATE(TODAY(),-55)),2,2)"),4538.43)</f>
        <v>4538.43</v>
      </c>
      <c r="C290" s="163">
        <f t="shared" si="2"/>
        <v>-0.02620709484</v>
      </c>
    </row>
    <row r="291">
      <c r="A291" s="169">
        <v>44200.0</v>
      </c>
      <c r="B291" s="162">
        <f>IFERROR(__xludf.DUMMYFUNCTION("INDEX(GOOGLEFINANCE("".inx"",""price"",EDATE(TODAY(),-56)),2,2)"),4660.57)</f>
        <v>4660.57</v>
      </c>
      <c r="C291" s="163">
        <f t="shared" si="2"/>
        <v>0.08373755366</v>
      </c>
    </row>
    <row r="292">
      <c r="A292" s="169">
        <v>44170.0</v>
      </c>
      <c r="B292" s="162">
        <f>IFERROR(__xludf.DUMMYFUNCTION("INDEX(GOOGLEFINANCE("".inx"",""price"",EDATE(TODAY(),-57)),2,2)"),4300.46)</f>
        <v>4300.46</v>
      </c>
      <c r="C292" s="163">
        <f t="shared" si="2"/>
        <v>-0.05180765661</v>
      </c>
    </row>
    <row r="293">
      <c r="A293" s="169">
        <v>44141.0</v>
      </c>
      <c r="B293" s="162">
        <f>IFERROR(__xludf.DUMMYFUNCTION("INDEX(GOOGLEFINANCE("".inx"",""price"",EDATE(TODAY(),-58)),2,2)"),4535.43)</f>
        <v>4535.43</v>
      </c>
      <c r="C293" s="163">
        <f t="shared" si="2"/>
        <v>0.02538462408</v>
      </c>
    </row>
    <row r="294">
      <c r="A294" s="169">
        <v>44111.0</v>
      </c>
      <c r="B294" s="162">
        <f>IFERROR(__xludf.DUMMYFUNCTION("INDEX(GOOGLEFINANCE("".inx"",""price"",EDATE(TODAY(),-59)),2,2)"),4423.15)</f>
        <v>4423.15</v>
      </c>
      <c r="C294" s="163">
        <f t="shared" si="2"/>
        <v>0.01832836811</v>
      </c>
    </row>
    <row r="295">
      <c r="A295" s="169">
        <v>44082.0</v>
      </c>
      <c r="B295" s="162">
        <f>IFERROR(__xludf.DUMMYFUNCTION("INDEX(GOOGLEFINANCE("".inx"",""price"",EDATE(TODAY(),-60)),2,2)"),4343.54)</f>
        <v>4343.54</v>
      </c>
      <c r="C295" s="163">
        <f t="shared" si="2"/>
        <v>0.03593975458</v>
      </c>
    </row>
    <row r="296">
      <c r="A296" s="169">
        <v>44052.0</v>
      </c>
      <c r="B296" s="162">
        <f>IFERROR(__xludf.DUMMYFUNCTION("INDEX(GOOGLEFINANCE("".inx"",""price"",EDATE(TODAY(),-61)),2,2)"),4192.85)</f>
        <v>4192.85</v>
      </c>
      <c r="C296" s="163">
        <f t="shared" si="2"/>
        <v>0.0000453172926</v>
      </c>
    </row>
    <row r="297">
      <c r="A297" s="169">
        <v>44022.0</v>
      </c>
      <c r="B297" s="162">
        <f>IFERROR(__xludf.DUMMYFUNCTION("INDEX(GOOGLEFINANCE("".inx"",""price"",EDATE(TODAY(),-62)),2,2)"),4192.66)</f>
        <v>4192.66</v>
      </c>
      <c r="C297" s="163">
        <f t="shared" si="2"/>
        <v>0.02813941455</v>
      </c>
    </row>
    <row r="298">
      <c r="A298" s="169">
        <v>43993.0</v>
      </c>
      <c r="B298" s="162">
        <f>IFERROR(__xludf.DUMMYFUNCTION("INDEX(GOOGLEFINANCE("".inx"",""price"",EDATE(TODAY(),-63)),2,2)"),4077.91)</f>
        <v>4077.91</v>
      </c>
      <c r="C298" s="163">
        <f t="shared" si="2"/>
        <v>0.06759395977</v>
      </c>
    </row>
    <row r="299">
      <c r="A299" s="169">
        <v>43963.0</v>
      </c>
      <c r="B299" s="162">
        <f>IFERROR(__xludf.DUMMYFUNCTION("INDEX(GOOGLEFINANCE("".inx"",""price"",EDATE(TODAY(),-64)),2,2)"),3819.72)</f>
        <v>3819.72</v>
      </c>
      <c r="C299" s="163">
        <f t="shared" si="2"/>
        <v>-0.002728338429</v>
      </c>
    </row>
    <row r="300">
      <c r="A300" s="169">
        <v>43934.0</v>
      </c>
      <c r="B300" s="162">
        <f>IFERROR(__xludf.DUMMYFUNCTION("INDEX(GOOGLEFINANCE("".inx"",""price"",EDATE(TODAY(),-65)),2,2)"),3830.17)</f>
        <v>3830.17</v>
      </c>
      <c r="C300" s="163">
        <f t="shared" si="2"/>
        <v>0.03499925689</v>
      </c>
    </row>
    <row r="301">
      <c r="A301" s="169">
        <v>43904.0</v>
      </c>
      <c r="B301" s="162">
        <f>IFERROR(__xludf.DUMMYFUNCTION("INDEX(GOOGLEFINANCE("".inx"",""price"",EDATE(TODAY(),-66)),2,2)"),3700.65)</f>
        <v>3700.65</v>
      </c>
      <c r="C301" s="163">
        <f t="shared" si="2"/>
        <v>0.009253501767</v>
      </c>
    </row>
    <row r="302">
      <c r="A302" s="169">
        <v>43876.0</v>
      </c>
      <c r="B302" s="162">
        <f>IFERROR(__xludf.DUMMYFUNCTION("INDEX(GOOGLEFINANCE("".inx"",""price"",EDATE(TODAY(),-67)),2,2)"),3666.72)</f>
        <v>3666.72</v>
      </c>
      <c r="C302" s="163">
        <f t="shared" si="2"/>
        <v>0.08836397528</v>
      </c>
    </row>
    <row r="303">
      <c r="A303" s="169">
        <v>43846.0</v>
      </c>
      <c r="B303" s="162">
        <f>IFERROR(__xludf.DUMMYFUNCTION("INDEX(GOOGLEFINANCE("".inx"",""price"",EDATE(TODAY(),-68)),2,2)"),3369.02)</f>
        <v>3369.02</v>
      </c>
      <c r="C303" s="23" t="s">
        <v>19</v>
      </c>
    </row>
    <row r="311">
      <c r="A311" s="75" t="str">
        <f>IFERROR(__xludf.DUMMYFUNCTION("IMPORTHTML(CONCAT(CONCAT(""https://valueinvesting.io/"",'Income Statement'!D1),""/valuation/wacc""),""table"",2)
"),"Category")</f>
        <v>Category</v>
      </c>
      <c r="B311" s="75" t="str">
        <f>IFERROR(__xludf.DUMMYFUNCTION("""COMPUTED_VALUE"""),"Low")</f>
        <v>Low</v>
      </c>
      <c r="C311" s="75" t="str">
        <f>IFERROR(__xludf.DUMMYFUNCTION("""COMPUTED_VALUE"""),"High")</f>
        <v>High</v>
      </c>
      <c r="D311" s="23" t="s">
        <v>118</v>
      </c>
    </row>
    <row r="312">
      <c r="A312" s="75"/>
      <c r="B312" s="75"/>
      <c r="C312" s="75"/>
    </row>
    <row r="313">
      <c r="A313" s="75" t="str">
        <f>IFERROR(__xludf.DUMMYFUNCTION("""COMPUTED_VALUE"""),"Long-term bond rate")</f>
        <v>Long-term bond rate</v>
      </c>
      <c r="B313" s="74">
        <f>IFERROR(__xludf.DUMMYFUNCTION("""COMPUTED_VALUE"""),0.039)</f>
        <v>0.039</v>
      </c>
      <c r="C313" s="74">
        <f>IFERROR(__xludf.DUMMYFUNCTION("""COMPUTED_VALUE"""),0.044)</f>
        <v>0.044</v>
      </c>
      <c r="D313" s="74">
        <f t="shared" ref="D313:D315" si="3">AVERAGE(B313:C313)</f>
        <v>0.0415</v>
      </c>
    </row>
    <row r="314">
      <c r="A314" s="75" t="str">
        <f>IFERROR(__xludf.DUMMYFUNCTION("""COMPUTED_VALUE"""),"Equity market risk premium")</f>
        <v>Equity market risk premium</v>
      </c>
      <c r="B314" s="74">
        <f>IFERROR(__xludf.DUMMYFUNCTION("""COMPUTED_VALUE"""),0.046)</f>
        <v>0.046</v>
      </c>
      <c r="C314" s="74">
        <f>IFERROR(__xludf.DUMMYFUNCTION("""COMPUTED_VALUE"""),0.056)</f>
        <v>0.056</v>
      </c>
      <c r="D314" s="74">
        <f t="shared" si="3"/>
        <v>0.051</v>
      </c>
    </row>
    <row r="315">
      <c r="A315" s="75" t="str">
        <f>IFERROR(__xludf.DUMMYFUNCTION("""COMPUTED_VALUE"""),"Adjusted beta")</f>
        <v>Adjusted beta</v>
      </c>
      <c r="B315" s="75">
        <f>IFERROR(__xludf.DUMMYFUNCTION("""COMPUTED_VALUE"""),0.39)</f>
        <v>0.39</v>
      </c>
      <c r="C315" s="75">
        <f>IFERROR(__xludf.DUMMYFUNCTION("""COMPUTED_VALUE"""),0.93)</f>
        <v>0.93</v>
      </c>
      <c r="D315" s="75">
        <f t="shared" si="3"/>
        <v>0.66</v>
      </c>
    </row>
    <row r="316">
      <c r="A316" s="75"/>
      <c r="B316" s="75"/>
      <c r="C316" s="75"/>
    </row>
    <row r="317">
      <c r="A317" s="75" t="str">
        <f>IFERROR(__xludf.DUMMYFUNCTION("""COMPUTED_VALUE"""),"Additional risk adjustments")</f>
        <v>Additional risk adjustments</v>
      </c>
      <c r="B317" s="74">
        <f>IFERROR(__xludf.DUMMYFUNCTION("""COMPUTED_VALUE"""),0.0)</f>
        <v>0</v>
      </c>
      <c r="C317" s="74">
        <f>IFERROR(__xludf.DUMMYFUNCTION("""COMPUTED_VALUE"""),0.005)</f>
        <v>0.005</v>
      </c>
      <c r="D317" s="74">
        <f t="shared" ref="D317:D318" si="4">AVERAGE(B317:C317)</f>
        <v>0.0025</v>
      </c>
    </row>
    <row r="318">
      <c r="A318" s="75" t="str">
        <f>IFERROR(__xludf.DUMMYFUNCTION("""COMPUTED_VALUE"""),"Cost of equity")</f>
        <v>Cost of equity</v>
      </c>
      <c r="B318" s="74">
        <f>IFERROR(__xludf.DUMMYFUNCTION("""COMPUTED_VALUE"""),0.056)</f>
        <v>0.056</v>
      </c>
      <c r="C318" s="74">
        <f>IFERROR(__xludf.DUMMYFUNCTION("""COMPUTED_VALUE"""),0.101)</f>
        <v>0.101</v>
      </c>
      <c r="D318" s="74">
        <f t="shared" si="4"/>
        <v>0.0785</v>
      </c>
    </row>
    <row r="319">
      <c r="A319" s="75"/>
      <c r="B319" s="75"/>
      <c r="C319" s="75"/>
    </row>
    <row r="320">
      <c r="A320" s="75" t="str">
        <f>IFERROR(__xludf.DUMMYFUNCTION("""COMPUTED_VALUE"""),"Tax rate")</f>
        <v>Tax rate</v>
      </c>
      <c r="B320" s="74">
        <f>IFERROR(__xludf.DUMMYFUNCTION("""COMPUTED_VALUE"""),0.167)</f>
        <v>0.167</v>
      </c>
      <c r="C320" s="74">
        <f>IFERROR(__xludf.DUMMYFUNCTION("""COMPUTED_VALUE"""),0.23)</f>
        <v>0.23</v>
      </c>
      <c r="D320" s="74">
        <f t="shared" ref="D320:D322" si="5">AVERAGE(B320:C320)</f>
        <v>0.1985</v>
      </c>
    </row>
    <row r="321">
      <c r="A321" s="75" t="str">
        <f>IFERROR(__xludf.DUMMYFUNCTION("""COMPUTED_VALUE"""),"Debt/Equity ratio")</f>
        <v>Debt/Equity ratio</v>
      </c>
      <c r="B321" s="75">
        <f>IFERROR(__xludf.DUMMYFUNCTION("""COMPUTED_VALUE"""),0.01)</f>
        <v>0.01</v>
      </c>
      <c r="C321" s="75">
        <f>IFERROR(__xludf.DUMMYFUNCTION("""COMPUTED_VALUE"""),0.01)</f>
        <v>0.01</v>
      </c>
      <c r="D321" s="75">
        <f t="shared" si="5"/>
        <v>0.01</v>
      </c>
    </row>
    <row r="322">
      <c r="A322" s="75" t="str">
        <f>IFERROR(__xludf.DUMMYFUNCTION("""COMPUTED_VALUE"""),"Cost of debt")</f>
        <v>Cost of debt</v>
      </c>
      <c r="B322" s="74">
        <f>IFERROR(__xludf.DUMMYFUNCTION("""COMPUTED_VALUE"""),0.04)</f>
        <v>0.04</v>
      </c>
      <c r="C322" s="74">
        <f>IFERROR(__xludf.DUMMYFUNCTION("""COMPUTED_VALUE"""),0.045)</f>
        <v>0.045</v>
      </c>
      <c r="D322" s="74">
        <f t="shared" si="5"/>
        <v>0.0425</v>
      </c>
    </row>
    <row r="323">
      <c r="A323" s="75"/>
      <c r="B323" s="75"/>
      <c r="C323" s="75"/>
    </row>
    <row r="324">
      <c r="A324" s="75" t="str">
        <f>IFERROR(__xludf.DUMMYFUNCTION("""COMPUTED_VALUE"""),"After-tax WACC")</f>
        <v>After-tax WACC</v>
      </c>
      <c r="B324" s="74">
        <f>IFERROR(__xludf.DUMMYFUNCTION("""COMPUTED_VALUE"""),0.056)</f>
        <v>0.056</v>
      </c>
      <c r="C324" s="74">
        <f>IFERROR(__xludf.DUMMYFUNCTION("""COMPUTED_VALUE"""),0.1)</f>
        <v>0.1</v>
      </c>
      <c r="D324" s="74">
        <f>AVERAGE(B324:C324)</f>
        <v>0.078</v>
      </c>
    </row>
    <row r="325">
      <c r="A325" s="75"/>
      <c r="B325" s="75"/>
      <c r="C325" s="75"/>
    </row>
    <row r="326">
      <c r="A326" s="75"/>
      <c r="B326" s="75"/>
      <c r="C326" s="75"/>
    </row>
    <row r="327">
      <c r="A327" s="75" t="str">
        <f>IFERROR(__xludf.DUMMYFUNCTION("""COMPUTED_VALUE"""),"Selected WACC")</f>
        <v>Selected WACC</v>
      </c>
      <c r="B327" s="74">
        <f>IFERROR(__xludf.DUMMYFUNCTION("""COMPUTED_VALUE"""),0.078)</f>
        <v>0.078</v>
      </c>
      <c r="C327" s="75"/>
      <c r="D327" s="74">
        <f>AVERAGE(B327:C327)</f>
        <v>0.078</v>
      </c>
    </row>
    <row r="328">
      <c r="A328" s="75"/>
      <c r="B328" s="75"/>
      <c r="C328" s="75"/>
    </row>
    <row r="332">
      <c r="A332" s="75" t="str">
        <f>IFERROR(__xludf.DUMMYFUNCTION("IMPORTHTML(CONCAT(CONCAT(""https://www.marketwatch.com/investing/stock/"",'Income Statement'!D1),""/financials/balance-sheet""),""table"",5)
"),"Item
Item")</f>
        <v>Item
Item</v>
      </c>
      <c r="B332" s="75">
        <f>IFERROR(__xludf.DUMMYFUNCTION("""COMPUTED_VALUE"""),2021.0)</f>
        <v>2021</v>
      </c>
      <c r="C332" s="75">
        <f>IFERROR(__xludf.DUMMYFUNCTION("""COMPUTED_VALUE"""),2022.0)</f>
        <v>2022</v>
      </c>
      <c r="D332" s="75">
        <f>IFERROR(__xludf.DUMMYFUNCTION("""COMPUTED_VALUE"""),2023.0)</f>
        <v>2023</v>
      </c>
      <c r="E332" s="75">
        <f>IFERROR(__xludf.DUMMYFUNCTION("""COMPUTED_VALUE"""),2024.0)</f>
        <v>2024</v>
      </c>
      <c r="F332" s="75">
        <f>IFERROR(__xludf.DUMMYFUNCTION("""COMPUTED_VALUE"""),2025.0)</f>
        <v>2025</v>
      </c>
      <c r="G332" s="75" t="str">
        <f>IFERROR(__xludf.DUMMYFUNCTION("""COMPUTED_VALUE"""),"5-year trend")</f>
        <v>5-year trend</v>
      </c>
    </row>
    <row r="333">
      <c r="A333" s="75" t="str">
        <f>IFERROR(__xludf.DUMMYFUNCTION("""COMPUTED_VALUE"""),"ST Debt &amp; Current Portion LT Debt
ST Debt &amp; Current Portion LT Debt")</f>
        <v>ST Debt &amp; Current Portion LT Debt
ST Debt &amp; Current Portion LT Debt</v>
      </c>
      <c r="B333" s="75" t="str">
        <f>IFERROR(__xludf.DUMMYFUNCTION("""COMPUTED_VALUE"""),"1.96B")</f>
        <v>1.96B</v>
      </c>
      <c r="C333" s="75" t="str">
        <f>IFERROR(__xludf.DUMMYFUNCTION("""COMPUTED_VALUE"""),"1.99B")</f>
        <v>1.99B</v>
      </c>
      <c r="D333" s="75" t="str">
        <f>IFERROR(__xludf.DUMMYFUNCTION("""COMPUTED_VALUE"""),"3.05B")</f>
        <v>3.05B</v>
      </c>
      <c r="E333" s="75" t="str">
        <f>IFERROR(__xludf.DUMMYFUNCTION("""COMPUTED_VALUE"""),"3.26B")</f>
        <v>3.26B</v>
      </c>
      <c r="F333" s="75" t="str">
        <f>IFERROR(__xludf.DUMMYFUNCTION("""COMPUTED_VALUE"""),"2.59B")</f>
        <v>2.59B</v>
      </c>
      <c r="G333" s="75"/>
    </row>
    <row r="334">
      <c r="A334" s="75" t="str">
        <f>IFERROR(__xludf.DUMMYFUNCTION("""COMPUTED_VALUE"""),"Short Term Debt
Short Term Debt")</f>
        <v>Short Term Debt
Short Term Debt</v>
      </c>
      <c r="B334" s="75" t="str">
        <f>IFERROR(__xludf.DUMMYFUNCTION("""COMPUTED_VALUE"""),"368M")</f>
        <v>368M</v>
      </c>
      <c r="C334" s="75" t="str">
        <f>IFERROR(__xludf.DUMMYFUNCTION("""COMPUTED_VALUE"""),"485M")</f>
        <v>485M</v>
      </c>
      <c r="D334" s="75" t="str">
        <f>IFERROR(__xludf.DUMMYFUNCTION("""COMPUTED_VALUE"""),"672M")</f>
        <v>672M</v>
      </c>
      <c r="E334" s="75" t="str">
        <f>IFERROR(__xludf.DUMMYFUNCTION("""COMPUTED_VALUE"""),"807M")</f>
        <v>807M</v>
      </c>
      <c r="F334" s="75" t="str">
        <f>IFERROR(__xludf.DUMMYFUNCTION("""COMPUTED_VALUE"""),"954M")</f>
        <v>954M</v>
      </c>
      <c r="G334" s="75"/>
    </row>
    <row r="335">
      <c r="A335" s="75" t="str">
        <f>IFERROR(__xludf.DUMMYFUNCTION("""COMPUTED_VALUE"""),"Current Portion of Long Term Debt
Current Portion of Long Term Debt")</f>
        <v>Current Portion of Long Term Debt
Current Portion of Long Term Debt</v>
      </c>
      <c r="B335" s="75" t="str">
        <f>IFERROR(__xludf.DUMMYFUNCTION("""COMPUTED_VALUE"""),"1.59B")</f>
        <v>1.59B</v>
      </c>
      <c r="C335" s="75" t="str">
        <f>IFERROR(__xludf.DUMMYFUNCTION("""COMPUTED_VALUE"""),"1.5B")</f>
        <v>1.5B</v>
      </c>
      <c r="D335" s="75" t="str">
        <f>IFERROR(__xludf.DUMMYFUNCTION("""COMPUTED_VALUE"""),"2.37B")</f>
        <v>2.37B</v>
      </c>
      <c r="E335" s="75" t="str">
        <f>IFERROR(__xludf.DUMMYFUNCTION("""COMPUTED_VALUE"""),"2.46B")</f>
        <v>2.46B</v>
      </c>
      <c r="F335" s="75" t="str">
        <f>IFERROR(__xludf.DUMMYFUNCTION("""COMPUTED_VALUE"""),"1.64B")</f>
        <v>1.64B</v>
      </c>
      <c r="G335" s="75"/>
    </row>
    <row r="336">
      <c r="A336" s="75" t="str">
        <f>IFERROR(__xludf.DUMMYFUNCTION("""COMPUTED_VALUE"""),"Accounts Payable
Accounts Payable")</f>
        <v>Accounts Payable
Accounts Payable</v>
      </c>
      <c r="B336" s="75" t="str">
        <f>IFERROR(__xludf.DUMMYFUNCTION("""COMPUTED_VALUE"""),"10.03B")</f>
        <v>10.03B</v>
      </c>
      <c r="C336" s="75" t="str">
        <f>IFERROR(__xludf.DUMMYFUNCTION("""COMPUTED_VALUE"""),"15.26B")</f>
        <v>15.26B</v>
      </c>
      <c r="D336" s="75" t="str">
        <f>IFERROR(__xludf.DUMMYFUNCTION("""COMPUTED_VALUE"""),"14.43B")</f>
        <v>14.43B</v>
      </c>
      <c r="E336" s="75" t="str">
        <f>IFERROR(__xludf.DUMMYFUNCTION("""COMPUTED_VALUE"""),"12.47B")</f>
        <v>12.47B</v>
      </c>
      <c r="F336" s="75" t="str">
        <f>IFERROR(__xludf.DUMMYFUNCTION("""COMPUTED_VALUE"""),"13.37B")</f>
        <v>13.37B</v>
      </c>
      <c r="G336" s="75"/>
    </row>
    <row r="337">
      <c r="A337" s="75" t="str">
        <f>IFERROR(__xludf.DUMMYFUNCTION("""COMPUTED_VALUE"""),"Accounts Payable Growth
Accounts Payable Growth")</f>
        <v>Accounts Payable Growth
Accounts Payable Growth</v>
      </c>
      <c r="B337" s="75" t="str">
        <f>IFERROR(__xludf.DUMMYFUNCTION("""COMPUTED_VALUE"""),"-")</f>
        <v>-</v>
      </c>
      <c r="C337" s="74">
        <f>IFERROR(__xludf.DUMMYFUNCTION("""COMPUTED_VALUE"""),0.5217)</f>
        <v>0.5217</v>
      </c>
      <c r="D337" s="74">
        <f>IFERROR(__xludf.DUMMYFUNCTION("""COMPUTED_VALUE"""),-0.054)</f>
        <v>-0.054</v>
      </c>
      <c r="E337" s="74">
        <f>IFERROR(__xludf.DUMMYFUNCTION("""COMPUTED_VALUE"""),-0.1356)</f>
        <v>-0.1356</v>
      </c>
      <c r="F337" s="74">
        <f>IFERROR(__xludf.DUMMYFUNCTION("""COMPUTED_VALUE"""),0.0719)</f>
        <v>0.0719</v>
      </c>
      <c r="G337" s="75"/>
    </row>
    <row r="338">
      <c r="A338" s="75" t="str">
        <f>IFERROR(__xludf.DUMMYFUNCTION("""COMPUTED_VALUE"""),"Income Tax Payable
Income Tax Payable")</f>
        <v>Income Tax Payable
Income Tax Payable</v>
      </c>
      <c r="B338" s="75" t="str">
        <f>IFERROR(__xludf.DUMMYFUNCTION("""COMPUTED_VALUE"""),"1.12B")</f>
        <v>1.12B</v>
      </c>
      <c r="C338" s="75" t="str">
        <f>IFERROR(__xludf.DUMMYFUNCTION("""COMPUTED_VALUE"""),"1.24B")</f>
        <v>1.24B</v>
      </c>
      <c r="D338" s="75" t="str">
        <f>IFERROR(__xludf.DUMMYFUNCTION("""COMPUTED_VALUE"""),"1.2B")</f>
        <v>1.2B</v>
      </c>
      <c r="E338" s="75" t="str">
        <f>IFERROR(__xludf.DUMMYFUNCTION("""COMPUTED_VALUE"""),"1.37B")</f>
        <v>1.37B</v>
      </c>
      <c r="F338" s="75" t="str">
        <f>IFERROR(__xludf.DUMMYFUNCTION("""COMPUTED_VALUE"""),"1.59B")</f>
        <v>1.59B</v>
      </c>
      <c r="G338" s="75"/>
    </row>
    <row r="339">
      <c r="A339" s="75" t="str">
        <f>IFERROR(__xludf.DUMMYFUNCTION("""COMPUTED_VALUE"""),"Other Current Liabilities
Other Current Liabilities")</f>
        <v>Other Current Liabilities
Other Current Liabilities</v>
      </c>
      <c r="B339" s="75" t="str">
        <f>IFERROR(__xludf.DUMMYFUNCTION("""COMPUTED_VALUE"""),"6.6B")</f>
        <v>6.6B</v>
      </c>
      <c r="C339" s="75" t="str">
        <f>IFERROR(__xludf.DUMMYFUNCTION("""COMPUTED_VALUE"""),"8.23B")</f>
        <v>8.23B</v>
      </c>
      <c r="D339" s="75" t="str">
        <f>IFERROR(__xludf.DUMMYFUNCTION("""COMPUTED_VALUE"""),"10.07B")</f>
        <v>10.07B</v>
      </c>
      <c r="E339" s="75" t="str">
        <f>IFERROR(__xludf.DUMMYFUNCTION("""COMPUTED_VALUE"""),"11.72B")</f>
        <v>11.72B</v>
      </c>
      <c r="F339" s="75" t="str">
        <f>IFERROR(__xludf.DUMMYFUNCTION("""COMPUTED_VALUE"""),"14.16B")</f>
        <v>14.16B</v>
      </c>
      <c r="G339" s="75"/>
    </row>
    <row r="340">
      <c r="A340" s="75" t="str">
        <f>IFERROR(__xludf.DUMMYFUNCTION("""COMPUTED_VALUE"""),"Dividends Payable
Dividends Payable")</f>
        <v>Dividends Payable
Dividends Payable</v>
      </c>
      <c r="B340" s="75" t="str">
        <f>IFERROR(__xludf.DUMMYFUNCTION("""COMPUTED_VALUE"""),"-")</f>
        <v>-</v>
      </c>
      <c r="C340" s="75" t="str">
        <f>IFERROR(__xludf.DUMMYFUNCTION("""COMPUTED_VALUE"""),"-")</f>
        <v>-</v>
      </c>
      <c r="D340" s="75" t="str">
        <f>IFERROR(__xludf.DUMMYFUNCTION("""COMPUTED_VALUE"""),"-")</f>
        <v>-</v>
      </c>
      <c r="E340" s="75" t="str">
        <f>IFERROR(__xludf.DUMMYFUNCTION("""COMPUTED_VALUE"""),"-")</f>
        <v>-</v>
      </c>
      <c r="F340" s="75" t="str">
        <f>IFERROR(__xludf.DUMMYFUNCTION("""COMPUTED_VALUE"""),"-")</f>
        <v>-</v>
      </c>
      <c r="G340" s="75"/>
    </row>
    <row r="341">
      <c r="A341" s="75" t="str">
        <f>IFERROR(__xludf.DUMMYFUNCTION("""COMPUTED_VALUE"""),"Accrued Payroll
Accrued Payroll")</f>
        <v>Accrued Payroll
Accrued Payroll</v>
      </c>
      <c r="B341" s="75" t="str">
        <f>IFERROR(__xludf.DUMMYFUNCTION("""COMPUTED_VALUE"""),"906M")</f>
        <v>906M</v>
      </c>
      <c r="C341" s="75" t="str">
        <f>IFERROR(__xludf.DUMMYFUNCTION("""COMPUTED_VALUE"""),"1.03B")</f>
        <v>1.03B</v>
      </c>
      <c r="D341" s="75" t="str">
        <f>IFERROR(__xludf.DUMMYFUNCTION("""COMPUTED_VALUE"""),"1.33B")</f>
        <v>1.33B</v>
      </c>
      <c r="E341" s="75" t="str">
        <f>IFERROR(__xludf.DUMMYFUNCTION("""COMPUTED_VALUE"""),"1.53B")</f>
        <v>1.53B</v>
      </c>
      <c r="F341" s="75" t="str">
        <f>IFERROR(__xludf.DUMMYFUNCTION("""COMPUTED_VALUE"""),"1.91B")</f>
        <v>1.91B</v>
      </c>
      <c r="G341" s="75"/>
    </row>
    <row r="342">
      <c r="A342" s="75" t="str">
        <f>IFERROR(__xludf.DUMMYFUNCTION("""COMPUTED_VALUE"""),"Miscellaneous Current Liabilities
Miscellaneous Current Liabilities")</f>
        <v>Miscellaneous Current Liabilities
Miscellaneous Current Liabilities</v>
      </c>
      <c r="B342" s="75" t="str">
        <f>IFERROR(__xludf.DUMMYFUNCTION("""COMPUTED_VALUE"""),"5.7B")</f>
        <v>5.7B</v>
      </c>
      <c r="C342" s="75" t="str">
        <f>IFERROR(__xludf.DUMMYFUNCTION("""COMPUTED_VALUE"""),"7.21B")</f>
        <v>7.21B</v>
      </c>
      <c r="D342" s="75" t="str">
        <f>IFERROR(__xludf.DUMMYFUNCTION("""COMPUTED_VALUE"""),"8.74B")</f>
        <v>8.74B</v>
      </c>
      <c r="E342" s="75" t="str">
        <f>IFERROR(__xludf.DUMMYFUNCTION("""COMPUTED_VALUE"""),"10.19B")</f>
        <v>10.19B</v>
      </c>
      <c r="F342" s="75" t="str">
        <f>IFERROR(__xludf.DUMMYFUNCTION("""COMPUTED_VALUE"""),"12.25B")</f>
        <v>12.25B</v>
      </c>
      <c r="G342" s="75"/>
    </row>
    <row r="343">
      <c r="A343" s="75" t="str">
        <f>IFERROR(__xludf.DUMMYFUNCTION("""COMPUTED_VALUE"""),"Total Current Liabilities
Total Current Liabilities")</f>
        <v>Total Current Liabilities
Total Current Liabilities</v>
      </c>
      <c r="B343" s="75" t="str">
        <f>IFERROR(__xludf.DUMMYFUNCTION("""COMPUTED_VALUE"""),"19.71B")</f>
        <v>19.71B</v>
      </c>
      <c r="C343" s="75" t="str">
        <f>IFERROR(__xludf.DUMMYFUNCTION("""COMPUTED_VALUE"""),"26.71B")</f>
        <v>26.71B</v>
      </c>
      <c r="D343" s="75" t="str">
        <f>IFERROR(__xludf.DUMMYFUNCTION("""COMPUTED_VALUE"""),"28.75B")</f>
        <v>28.75B</v>
      </c>
      <c r="E343" s="75" t="str">
        <f>IFERROR(__xludf.DUMMYFUNCTION("""COMPUTED_VALUE"""),"28.82B")</f>
        <v>28.82B</v>
      </c>
      <c r="F343" s="75" t="str">
        <f>IFERROR(__xludf.DUMMYFUNCTION("""COMPUTED_VALUE"""),"31.71B")</f>
        <v>31.71B</v>
      </c>
      <c r="G343" s="75"/>
    </row>
    <row r="344">
      <c r="A344" s="75" t="str">
        <f>IFERROR(__xludf.DUMMYFUNCTION("""COMPUTED_VALUE"""),"Long-Term Debt
Long-Term Debt")</f>
        <v>Long-Term Debt
Long-Term Debt</v>
      </c>
      <c r="B344" s="75" t="str">
        <f>IFERROR(__xludf.DUMMYFUNCTION("""COMPUTED_VALUE"""),"6.92B")</f>
        <v>6.92B</v>
      </c>
      <c r="C344" s="75" t="str">
        <f>IFERROR(__xludf.DUMMYFUNCTION("""COMPUTED_VALUE"""),"3.76B")</f>
        <v>3.76B</v>
      </c>
      <c r="D344" s="75" t="str">
        <f>IFERROR(__xludf.DUMMYFUNCTION("""COMPUTED_VALUE"""),"6.53B")</f>
        <v>6.53B</v>
      </c>
      <c r="E344" s="75" t="str">
        <f>IFERROR(__xludf.DUMMYFUNCTION("""COMPUTED_VALUE"""),"10.36B")</f>
        <v>10.36B</v>
      </c>
      <c r="F344" s="75" t="str">
        <f>IFERROR(__xludf.DUMMYFUNCTION("""COMPUTED_VALUE"""),"12.13B")</f>
        <v>12.13B</v>
      </c>
      <c r="G344" s="75"/>
    </row>
    <row r="345">
      <c r="A345" s="75" t="str">
        <f>IFERROR(__xludf.DUMMYFUNCTION("""COMPUTED_VALUE"""),"Long-Term Debt excl. Capitalized Leases
Long-Term Debt excl. Capitalized Leases")</f>
        <v>Long-Term Debt excl. Capitalized Leases
Long-Term Debt excl. Capitalized Leases</v>
      </c>
      <c r="B345" s="75" t="str">
        <f>IFERROR(__xludf.DUMMYFUNCTION("""COMPUTED_VALUE"""),"5.93B")</f>
        <v>5.93B</v>
      </c>
      <c r="C345" s="75" t="str">
        <f>IFERROR(__xludf.DUMMYFUNCTION("""COMPUTED_VALUE"""),"3.19B")</f>
        <v>3.19B</v>
      </c>
      <c r="D345" s="75" t="str">
        <f>IFERROR(__xludf.DUMMYFUNCTION("""COMPUTED_VALUE"""),"6.35B")</f>
        <v>6.35B</v>
      </c>
      <c r="E345" s="75" t="str">
        <f>IFERROR(__xludf.DUMMYFUNCTION("""COMPUTED_VALUE"""),"10.14B")</f>
        <v>10.14B</v>
      </c>
      <c r="F345" s="75" t="str">
        <f>IFERROR(__xludf.DUMMYFUNCTION("""COMPUTED_VALUE"""),"11.97B")</f>
        <v>11.97B</v>
      </c>
      <c r="G345" s="75"/>
    </row>
    <row r="346">
      <c r="A346" s="75" t="str">
        <f>IFERROR(__xludf.DUMMYFUNCTION("""COMPUTED_VALUE"""),"Non-Convertible Debt
Non-Convertible Debt")</f>
        <v>Non-Convertible Debt
Non-Convertible Debt</v>
      </c>
      <c r="B346" s="75" t="str">
        <f>IFERROR(__xludf.DUMMYFUNCTION("""COMPUTED_VALUE"""),"4.25B")</f>
        <v>4.25B</v>
      </c>
      <c r="C346" s="75" t="str">
        <f>IFERROR(__xludf.DUMMYFUNCTION("""COMPUTED_VALUE"""),"1.03B")</f>
        <v>1.03B</v>
      </c>
      <c r="D346" s="75" t="str">
        <f>IFERROR(__xludf.DUMMYFUNCTION("""COMPUTED_VALUE"""),"2.68B")</f>
        <v>2.68B</v>
      </c>
      <c r="E346" s="75" t="str">
        <f>IFERROR(__xludf.DUMMYFUNCTION("""COMPUTED_VALUE"""),"5.54B")</f>
        <v>5.54B</v>
      </c>
      <c r="F346" s="75" t="str">
        <f>IFERROR(__xludf.DUMMYFUNCTION("""COMPUTED_VALUE"""),"6.58B")</f>
        <v>6.58B</v>
      </c>
      <c r="G346" s="75"/>
    </row>
    <row r="347">
      <c r="A347" s="75" t="str">
        <f>IFERROR(__xludf.DUMMYFUNCTION("""COMPUTED_VALUE"""),"Convertible Debt
Convertible Debt")</f>
        <v>Convertible Debt
Convertible Debt</v>
      </c>
      <c r="B347" s="75" t="str">
        <f>IFERROR(__xludf.DUMMYFUNCTION("""COMPUTED_VALUE"""),"-")</f>
        <v>-</v>
      </c>
      <c r="C347" s="75" t="str">
        <f>IFERROR(__xludf.DUMMYFUNCTION("""COMPUTED_VALUE"""),"-")</f>
        <v>-</v>
      </c>
      <c r="D347" s="75" t="str">
        <f>IFERROR(__xludf.DUMMYFUNCTION("""COMPUTED_VALUE"""),"-")</f>
        <v>-</v>
      </c>
      <c r="E347" s="75" t="str">
        <f>IFERROR(__xludf.DUMMYFUNCTION("""COMPUTED_VALUE"""),"-")</f>
        <v>-</v>
      </c>
      <c r="F347" s="75" t="str">
        <f>IFERROR(__xludf.DUMMYFUNCTION("""COMPUTED_VALUE"""),"-")</f>
        <v>-</v>
      </c>
      <c r="G347" s="75"/>
    </row>
    <row r="348">
      <c r="A348" s="75" t="str">
        <f>IFERROR(__xludf.DUMMYFUNCTION("""COMPUTED_VALUE"""),"Capitalized Lease Obligations
Capitalized Lease Obligations")</f>
        <v>Capitalized Lease Obligations
Capitalized Lease Obligations</v>
      </c>
      <c r="B348" s="75" t="str">
        <f>IFERROR(__xludf.DUMMYFUNCTION("""COMPUTED_VALUE"""),"991M")</f>
        <v>991M</v>
      </c>
      <c r="C348" s="75" t="str">
        <f>IFERROR(__xludf.DUMMYFUNCTION("""COMPUTED_VALUE"""),"568M")</f>
        <v>568M</v>
      </c>
      <c r="D348" s="75" t="str">
        <f>IFERROR(__xludf.DUMMYFUNCTION("""COMPUTED_VALUE"""),"175M")</f>
        <v>175M</v>
      </c>
      <c r="E348" s="75" t="str">
        <f>IFERROR(__xludf.DUMMYFUNCTION("""COMPUTED_VALUE"""),"222M")</f>
        <v>222M</v>
      </c>
      <c r="F348" s="75" t="str">
        <f>IFERROR(__xludf.DUMMYFUNCTION("""COMPUTED_VALUE"""),"152M")</f>
        <v>152M</v>
      </c>
      <c r="G348" s="75"/>
    </row>
    <row r="349">
      <c r="A349" s="75" t="str">
        <f>IFERROR(__xludf.DUMMYFUNCTION("""COMPUTED_VALUE"""),"Provision for Risks &amp; Charges
Provision for Risks &amp; Charges")</f>
        <v>Provision for Risks &amp; Charges
Provision for Risks &amp; Charges</v>
      </c>
      <c r="B349" s="75" t="str">
        <f>IFERROR(__xludf.DUMMYFUNCTION("""COMPUTED_VALUE"""),"133M")</f>
        <v>133M</v>
      </c>
      <c r="C349" s="75" t="str">
        <f>IFERROR(__xludf.DUMMYFUNCTION("""COMPUTED_VALUE"""),"51M")</f>
        <v>51M</v>
      </c>
      <c r="D349" s="75" t="str">
        <f>IFERROR(__xludf.DUMMYFUNCTION("""COMPUTED_VALUE"""),"3.61B")</f>
        <v>3.61B</v>
      </c>
      <c r="E349" s="75" t="str">
        <f>IFERROR(__xludf.DUMMYFUNCTION("""COMPUTED_VALUE"""),"4.8B")</f>
        <v>4.8B</v>
      </c>
      <c r="F349" s="75" t="str">
        <f>IFERROR(__xludf.DUMMYFUNCTION("""COMPUTED_VALUE"""),"6.13B")</f>
        <v>6.13B</v>
      </c>
      <c r="G349" s="75"/>
    </row>
    <row r="350">
      <c r="A350" s="75" t="str">
        <f>IFERROR(__xludf.DUMMYFUNCTION("""COMPUTED_VALUE"""),"Deferred Taxes
Deferred Taxes")</f>
        <v>Deferred Taxes
Deferred Taxes</v>
      </c>
      <c r="B350" s="75" t="str">
        <f>IFERROR(__xludf.DUMMYFUNCTION("""COMPUTED_VALUE"""),"24M")</f>
        <v>24M</v>
      </c>
      <c r="C350" s="75" t="str">
        <f>IFERROR(__xludf.DUMMYFUNCTION("""COMPUTED_VALUE"""),"82M")</f>
        <v>82M</v>
      </c>
      <c r="D350" s="75" t="str">
        <f>IFERROR(__xludf.DUMMYFUNCTION("""COMPUTED_VALUE"""),"(6.73B)")</f>
        <v>(6.73B)</v>
      </c>
      <c r="E350" s="75" t="str">
        <f>IFERROR(__xludf.DUMMYFUNCTION("""COMPUTED_VALUE"""),"(6.52B)")</f>
        <v>(6.52B)</v>
      </c>
      <c r="F350" s="75" t="str">
        <f>IFERROR(__xludf.DUMMYFUNCTION("""COMPUTED_VALUE"""),"(6.93B)")</f>
        <v>(6.93B)</v>
      </c>
      <c r="G350" s="75"/>
    </row>
    <row r="351">
      <c r="A351" s="75" t="str">
        <f>IFERROR(__xludf.DUMMYFUNCTION("""COMPUTED_VALUE"""),"Deferred Taxes - Credits
Deferred Taxes - Credits")</f>
        <v>Deferred Taxes - Credits
Deferred Taxes - Credits</v>
      </c>
      <c r="B351" s="75" t="str">
        <f>IFERROR(__xludf.DUMMYFUNCTION("""COMPUTED_VALUE"""),"24M")</f>
        <v>24M</v>
      </c>
      <c r="C351" s="75" t="str">
        <f>IFERROR(__xludf.DUMMYFUNCTION("""COMPUTED_VALUE"""),"82M")</f>
        <v>82M</v>
      </c>
      <c r="D351" s="75" t="str">
        <f>IFERROR(__xludf.DUMMYFUNCTION("""COMPUTED_VALUE"""),"-")</f>
        <v>-</v>
      </c>
      <c r="E351" s="75" t="str">
        <f>IFERROR(__xludf.DUMMYFUNCTION("""COMPUTED_VALUE"""),"-")</f>
        <v>-</v>
      </c>
      <c r="F351" s="75" t="str">
        <f>IFERROR(__xludf.DUMMYFUNCTION("""COMPUTED_VALUE"""),"-")</f>
        <v>-</v>
      </c>
      <c r="G351" s="75"/>
    </row>
    <row r="352">
      <c r="A352" s="75" t="str">
        <f>IFERROR(__xludf.DUMMYFUNCTION("""COMPUTED_VALUE"""),"Deferred Taxes - Debit
Deferred Taxes - Debit")</f>
        <v>Deferred Taxes - Debit
Deferred Taxes - Debit</v>
      </c>
      <c r="B352" s="75" t="str">
        <f>IFERROR(__xludf.DUMMYFUNCTION("""COMPUTED_VALUE"""),"-")</f>
        <v>-</v>
      </c>
      <c r="C352" s="75" t="str">
        <f>IFERROR(__xludf.DUMMYFUNCTION("""COMPUTED_VALUE"""),"-")</f>
        <v>-</v>
      </c>
      <c r="D352" s="75" t="str">
        <f>IFERROR(__xludf.DUMMYFUNCTION("""COMPUTED_VALUE"""),"6.73B")</f>
        <v>6.73B</v>
      </c>
      <c r="E352" s="75" t="str">
        <f>IFERROR(__xludf.DUMMYFUNCTION("""COMPUTED_VALUE"""),"6.52B")</f>
        <v>6.52B</v>
      </c>
      <c r="F352" s="75" t="str">
        <f>IFERROR(__xludf.DUMMYFUNCTION("""COMPUTED_VALUE"""),"6.93B")</f>
        <v>6.93B</v>
      </c>
      <c r="G352" s="75"/>
    </row>
    <row r="353">
      <c r="A353" s="75" t="str">
        <f>IFERROR(__xludf.DUMMYFUNCTION("""COMPUTED_VALUE"""),"Other Liabilities
Other Liabilities")</f>
        <v>Other Liabilities
Other Liabilities</v>
      </c>
      <c r="B353" s="75" t="str">
        <f>IFERROR(__xludf.DUMMYFUNCTION("""COMPUTED_VALUE"""),"3.77B")</f>
        <v>3.77B</v>
      </c>
      <c r="C353" s="75" t="str">
        <f>IFERROR(__xludf.DUMMYFUNCTION("""COMPUTED_VALUE"""),"5.84B")</f>
        <v>5.84B</v>
      </c>
      <c r="D353" s="75" t="str">
        <f>IFERROR(__xludf.DUMMYFUNCTION("""COMPUTED_VALUE"""),"4.13B")</f>
        <v>4.13B</v>
      </c>
      <c r="E353" s="75" t="str">
        <f>IFERROR(__xludf.DUMMYFUNCTION("""COMPUTED_VALUE"""),"4.41B")</f>
        <v>4.41B</v>
      </c>
      <c r="F353" s="75" t="str">
        <f>IFERROR(__xludf.DUMMYFUNCTION("""COMPUTED_VALUE"""),"4.97B")</f>
        <v>4.97B</v>
      </c>
      <c r="G353" s="75"/>
    </row>
    <row r="354">
      <c r="A354" s="75" t="str">
        <f>IFERROR(__xludf.DUMMYFUNCTION("""COMPUTED_VALUE"""),"Other Liabilities (excl. Deferred Income)
Other Liabilities (excl. Deferred Income)")</f>
        <v>Other Liabilities (excl. Deferred Income)
Other Liabilities (excl. Deferred Income)</v>
      </c>
      <c r="B354" s="75" t="str">
        <f>IFERROR(__xludf.DUMMYFUNCTION("""COMPUTED_VALUE"""),"1.72B")</f>
        <v>1.72B</v>
      </c>
      <c r="C354" s="75" t="str">
        <f>IFERROR(__xludf.DUMMYFUNCTION("""COMPUTED_VALUE"""),"3.03B")</f>
        <v>3.03B</v>
      </c>
      <c r="D354" s="75" t="str">
        <f>IFERROR(__xludf.DUMMYFUNCTION("""COMPUTED_VALUE"""),"876M")</f>
        <v>876M</v>
      </c>
      <c r="E354" s="75" t="str">
        <f>IFERROR(__xludf.DUMMYFUNCTION("""COMPUTED_VALUE"""),"1.09B")</f>
        <v>1.09B</v>
      </c>
      <c r="F354" s="75" t="str">
        <f>IFERROR(__xludf.DUMMYFUNCTION("""COMPUTED_VALUE"""),"1.34B")</f>
        <v>1.34B</v>
      </c>
      <c r="G354" s="75"/>
    </row>
    <row r="355">
      <c r="A355" s="75" t="str">
        <f>IFERROR(__xludf.DUMMYFUNCTION("""COMPUTED_VALUE"""),"Deferred Income
Deferred Income")</f>
        <v>Deferred Income
Deferred Income</v>
      </c>
      <c r="B355" s="75" t="str">
        <f>IFERROR(__xludf.DUMMYFUNCTION("""COMPUTED_VALUE"""),"2.05B")</f>
        <v>2.05B</v>
      </c>
      <c r="C355" s="75" t="str">
        <f>IFERROR(__xludf.DUMMYFUNCTION("""COMPUTED_VALUE"""),"2.8B")</f>
        <v>2.8B</v>
      </c>
      <c r="D355" s="75" t="str">
        <f>IFERROR(__xludf.DUMMYFUNCTION("""COMPUTED_VALUE"""),"3.25B")</f>
        <v>3.25B</v>
      </c>
      <c r="E355" s="75" t="str">
        <f>IFERROR(__xludf.DUMMYFUNCTION("""COMPUTED_VALUE"""),"3.32B")</f>
        <v>3.32B</v>
      </c>
      <c r="F355" s="75" t="str">
        <f>IFERROR(__xludf.DUMMYFUNCTION("""COMPUTED_VALUE"""),"3.63B")</f>
        <v>3.63B</v>
      </c>
      <c r="G355" s="75"/>
    </row>
    <row r="356">
      <c r="A356" s="75" t="str">
        <f>IFERROR(__xludf.DUMMYFUNCTION("""COMPUTED_VALUE"""),"Total Liabilities
Total Liabilities")</f>
        <v>Total Liabilities
Total Liabilities</v>
      </c>
      <c r="B356" s="75" t="str">
        <f>IFERROR(__xludf.DUMMYFUNCTION("""COMPUTED_VALUE"""),"30.55B")</f>
        <v>30.55B</v>
      </c>
      <c r="C356" s="75" t="str">
        <f>IFERROR(__xludf.DUMMYFUNCTION("""COMPUTED_VALUE"""),"36.44B")</f>
        <v>36.44B</v>
      </c>
      <c r="D356" s="75" t="str">
        <f>IFERROR(__xludf.DUMMYFUNCTION("""COMPUTED_VALUE"""),"43.01B")</f>
        <v>43.01B</v>
      </c>
      <c r="E356" s="75" t="str">
        <f>IFERROR(__xludf.DUMMYFUNCTION("""COMPUTED_VALUE"""),"48.39B")</f>
        <v>48.39B</v>
      </c>
      <c r="F356" s="75" t="str">
        <f>IFERROR(__xludf.DUMMYFUNCTION("""COMPUTED_VALUE"""),"54.94B")</f>
        <v>54.94B</v>
      </c>
      <c r="G356" s="75"/>
    </row>
    <row r="357">
      <c r="A357" s="75" t="str">
        <f>IFERROR(__xludf.DUMMYFUNCTION("""COMPUTED_VALUE"""),"Non-Equity Reserves
Non-Equity Reserves")</f>
        <v>Non-Equity Reserves
Non-Equity Reserves</v>
      </c>
      <c r="B357" s="75" t="str">
        <f>IFERROR(__xludf.DUMMYFUNCTION("""COMPUTED_VALUE"""),"-")</f>
        <v>-</v>
      </c>
      <c r="C357" s="75" t="str">
        <f>IFERROR(__xludf.DUMMYFUNCTION("""COMPUTED_VALUE"""),"-")</f>
        <v>-</v>
      </c>
      <c r="D357" s="75" t="str">
        <f>IFERROR(__xludf.DUMMYFUNCTION("""COMPUTED_VALUE"""),"-")</f>
        <v>-</v>
      </c>
      <c r="E357" s="75" t="str">
        <f>IFERROR(__xludf.DUMMYFUNCTION("""COMPUTED_VALUE"""),"-")</f>
        <v>-</v>
      </c>
      <c r="F357" s="75" t="str">
        <f>IFERROR(__xludf.DUMMYFUNCTION("""COMPUTED_VALUE"""),"-")</f>
        <v>-</v>
      </c>
      <c r="G357" s="75"/>
    </row>
    <row r="358">
      <c r="A358" s="75" t="str">
        <f>IFERROR(__xludf.DUMMYFUNCTION("""COMPUTED_VALUE"""),"Total Liabilities / Total Assets
Total Liabilities / Total Assets")</f>
        <v>Total Liabilities / Total Assets
Total Liabilities / Total Assets</v>
      </c>
      <c r="B358" s="74">
        <f>IFERROR(__xludf.DUMMYFUNCTION("""COMPUTED_VALUE"""),0.4917)</f>
        <v>0.4917</v>
      </c>
      <c r="C358" s="74">
        <f>IFERROR(__xludf.DUMMYFUNCTION("""COMPUTED_VALUE"""),0.4426)</f>
        <v>0.4426</v>
      </c>
      <c r="D358" s="74">
        <f>IFERROR(__xludf.DUMMYFUNCTION("""COMPUTED_VALUE"""),0.4034)</f>
        <v>0.4034</v>
      </c>
      <c r="E358" s="74">
        <f>IFERROR(__xludf.DUMMYFUNCTION("""COMPUTED_VALUE"""),0.3964)</f>
        <v>0.3964</v>
      </c>
      <c r="F358" s="74">
        <f>IFERROR(__xludf.DUMMYFUNCTION("""COMPUTED_VALUE"""),0.3987)</f>
        <v>0.3987</v>
      </c>
      <c r="G358" s="75"/>
    </row>
    <row r="359">
      <c r="A359" s="75" t="str">
        <f>IFERROR(__xludf.DUMMYFUNCTION("""COMPUTED_VALUE"""),"Preferred Stock (Carrying Value)
Preferred Stock (Carrying Value)")</f>
        <v>Preferred Stock (Carrying Value)
Preferred Stock (Carrying Value)</v>
      </c>
      <c r="B359" s="75" t="str">
        <f>IFERROR(__xludf.DUMMYFUNCTION("""COMPUTED_VALUE"""),"-")</f>
        <v>-</v>
      </c>
      <c r="C359" s="75" t="str">
        <f>IFERROR(__xludf.DUMMYFUNCTION("""COMPUTED_VALUE"""),"-")</f>
        <v>-</v>
      </c>
      <c r="D359" s="75" t="str">
        <f>IFERROR(__xludf.DUMMYFUNCTION("""COMPUTED_VALUE"""),"-")</f>
        <v>-</v>
      </c>
      <c r="E359" s="75" t="str">
        <f>IFERROR(__xludf.DUMMYFUNCTION("""COMPUTED_VALUE"""),"-")</f>
        <v>-</v>
      </c>
      <c r="F359" s="75" t="str">
        <f>IFERROR(__xludf.DUMMYFUNCTION("""COMPUTED_VALUE"""),"-")</f>
        <v>-</v>
      </c>
      <c r="G359" s="75"/>
    </row>
    <row r="360">
      <c r="A360" s="75" t="str">
        <f>IFERROR(__xludf.DUMMYFUNCTION("""COMPUTED_VALUE"""),"Redeemable Preferred Stock
Redeemable Preferred Stock")</f>
        <v>Redeemable Preferred Stock
Redeemable Preferred Stock</v>
      </c>
      <c r="B360" s="75" t="str">
        <f>IFERROR(__xludf.DUMMYFUNCTION("""COMPUTED_VALUE"""),"-")</f>
        <v>-</v>
      </c>
      <c r="C360" s="75" t="str">
        <f>IFERROR(__xludf.DUMMYFUNCTION("""COMPUTED_VALUE"""),"-")</f>
        <v>-</v>
      </c>
      <c r="D360" s="75" t="str">
        <f>IFERROR(__xludf.DUMMYFUNCTION("""COMPUTED_VALUE"""),"-")</f>
        <v>-</v>
      </c>
      <c r="E360" s="75" t="str">
        <f>IFERROR(__xludf.DUMMYFUNCTION("""COMPUTED_VALUE"""),"-")</f>
        <v>-</v>
      </c>
      <c r="F360" s="75" t="str">
        <f>IFERROR(__xludf.DUMMYFUNCTION("""COMPUTED_VALUE"""),"-")</f>
        <v>-</v>
      </c>
      <c r="G360" s="75"/>
    </row>
    <row r="361">
      <c r="A361" s="75" t="str">
        <f>IFERROR(__xludf.DUMMYFUNCTION("""COMPUTED_VALUE"""),"Non-Redeemable Preferred Stock
Non-Redeemable Preferred Stock")</f>
        <v>Non-Redeemable Preferred Stock
Non-Redeemable Preferred Stock</v>
      </c>
      <c r="B361" s="75" t="str">
        <f>IFERROR(__xludf.DUMMYFUNCTION("""COMPUTED_VALUE"""),"-")</f>
        <v>-</v>
      </c>
      <c r="C361" s="75" t="str">
        <f>IFERROR(__xludf.DUMMYFUNCTION("""COMPUTED_VALUE"""),"-")</f>
        <v>-</v>
      </c>
      <c r="D361" s="75" t="str">
        <f>IFERROR(__xludf.DUMMYFUNCTION("""COMPUTED_VALUE"""),"-")</f>
        <v>-</v>
      </c>
      <c r="E361" s="75" t="str">
        <f>IFERROR(__xludf.DUMMYFUNCTION("""COMPUTED_VALUE"""),"-")</f>
        <v>-</v>
      </c>
      <c r="F361" s="75" t="str">
        <f>IFERROR(__xludf.DUMMYFUNCTION("""COMPUTED_VALUE"""),"-")</f>
        <v>-</v>
      </c>
      <c r="G361" s="75"/>
    </row>
    <row r="362">
      <c r="A362" s="75" t="str">
        <f>IFERROR(__xludf.DUMMYFUNCTION("""COMPUTED_VALUE"""),"Common Equity (Total)
Common Equity (Total)")</f>
        <v>Common Equity (Total)
Common Equity (Total)</v>
      </c>
      <c r="B362" s="75" t="str">
        <f>IFERROR(__xludf.DUMMYFUNCTION("""COMPUTED_VALUE"""),"30.19B")</f>
        <v>30.19B</v>
      </c>
      <c r="C362" s="75" t="str">
        <f>IFERROR(__xludf.DUMMYFUNCTION("""COMPUTED_VALUE"""),"44.7B")</f>
        <v>44.7B</v>
      </c>
      <c r="D362" s="75" t="str">
        <f>IFERROR(__xludf.DUMMYFUNCTION("""COMPUTED_VALUE"""),"62.63B")</f>
        <v>62.63B</v>
      </c>
      <c r="E362" s="75" t="str">
        <f>IFERROR(__xludf.DUMMYFUNCTION("""COMPUTED_VALUE"""),"72.91B")</f>
        <v>72.91B</v>
      </c>
      <c r="F362" s="75" t="str">
        <f>IFERROR(__xludf.DUMMYFUNCTION("""COMPUTED_VALUE"""),"82.14B")</f>
        <v>82.14B</v>
      </c>
      <c r="G362" s="75"/>
    </row>
    <row r="363">
      <c r="A363" s="75" t="str">
        <f>IFERROR(__xludf.DUMMYFUNCTION("""COMPUTED_VALUE"""),"Common Equity / Total Assets
Common Equity / Total Assets")</f>
        <v>Common Equity / Total Assets
Common Equity / Total Assets</v>
      </c>
      <c r="B363" s="74">
        <f>IFERROR(__xludf.DUMMYFUNCTION("""COMPUTED_VALUE"""),0.4859)</f>
        <v>0.4859</v>
      </c>
      <c r="C363" s="74">
        <f>IFERROR(__xludf.DUMMYFUNCTION("""COMPUTED_VALUE"""),0.5429)</f>
        <v>0.5429</v>
      </c>
      <c r="D363" s="74">
        <f>IFERROR(__xludf.DUMMYFUNCTION("""COMPUTED_VALUE"""),0.5875)</f>
        <v>0.5875</v>
      </c>
      <c r="E363" s="74">
        <f>IFERROR(__xludf.DUMMYFUNCTION("""COMPUTED_VALUE"""),0.5973)</f>
        <v>0.5973</v>
      </c>
      <c r="F363" s="74">
        <f>IFERROR(__xludf.DUMMYFUNCTION("""COMPUTED_VALUE"""),0.596)</f>
        <v>0.596</v>
      </c>
      <c r="G363" s="75"/>
    </row>
    <row r="364">
      <c r="A364" s="75" t="str">
        <f>IFERROR(__xludf.DUMMYFUNCTION("""COMPUTED_VALUE"""),"Common Stock Par/Carry Value
Common Stock Par/Carry Value")</f>
        <v>Common Stock Par/Carry Value
Common Stock Par/Carry Value</v>
      </c>
      <c r="B364" s="75" t="str">
        <f>IFERROR(__xludf.DUMMYFUNCTION("""COMPUTED_VALUE"""),"1M")</f>
        <v>1M</v>
      </c>
      <c r="C364" s="75" t="str">
        <f>IFERROR(__xludf.DUMMYFUNCTION("""COMPUTED_VALUE"""),"3M")</f>
        <v>3M</v>
      </c>
      <c r="D364" s="75" t="str">
        <f>IFERROR(__xludf.DUMMYFUNCTION("""COMPUTED_VALUE"""),"3M")</f>
        <v>3M</v>
      </c>
      <c r="E364" s="75" t="str">
        <f>IFERROR(__xludf.DUMMYFUNCTION("""COMPUTED_VALUE"""),"3M")</f>
        <v>3M</v>
      </c>
      <c r="F364" s="75" t="str">
        <f>IFERROR(__xludf.DUMMYFUNCTION("""COMPUTED_VALUE"""),"3M")</f>
        <v>3M</v>
      </c>
      <c r="G364" s="75"/>
    </row>
    <row r="365">
      <c r="A365" s="75" t="str">
        <f>IFERROR(__xludf.DUMMYFUNCTION("""COMPUTED_VALUE"""),"Retained Earnings
Retained Earnings")</f>
        <v>Retained Earnings
Retained Earnings</v>
      </c>
      <c r="B365" s="75" t="str">
        <f>IFERROR(__xludf.DUMMYFUNCTION("""COMPUTED_VALUE"""),"331M")</f>
        <v>331M</v>
      </c>
      <c r="C365" s="75" t="str">
        <f>IFERROR(__xludf.DUMMYFUNCTION("""COMPUTED_VALUE"""),"12.89B")</f>
        <v>12.89B</v>
      </c>
      <c r="D365" s="75" t="str">
        <f>IFERROR(__xludf.DUMMYFUNCTION("""COMPUTED_VALUE"""),"27.88B")</f>
        <v>27.88B</v>
      </c>
      <c r="E365" s="75" t="str">
        <f>IFERROR(__xludf.DUMMYFUNCTION("""COMPUTED_VALUE"""),"35.21B")</f>
        <v>35.21B</v>
      </c>
      <c r="F365" s="75" t="str">
        <f>IFERROR(__xludf.DUMMYFUNCTION("""COMPUTED_VALUE"""),"39B")</f>
        <v>39B</v>
      </c>
      <c r="G365" s="75"/>
    </row>
    <row r="366">
      <c r="A366" s="75" t="str">
        <f>IFERROR(__xludf.DUMMYFUNCTION("""COMPUTED_VALUE"""),"ESOP Debt Guarantee
ESOP Debt Guarantee")</f>
        <v>ESOP Debt Guarantee
ESOP Debt Guarantee</v>
      </c>
      <c r="B366" s="75" t="str">
        <f>IFERROR(__xludf.DUMMYFUNCTION("""COMPUTED_VALUE"""),"-")</f>
        <v>-</v>
      </c>
      <c r="C366" s="75" t="str">
        <f>IFERROR(__xludf.DUMMYFUNCTION("""COMPUTED_VALUE"""),"-")</f>
        <v>-</v>
      </c>
      <c r="D366" s="75" t="str">
        <f>IFERROR(__xludf.DUMMYFUNCTION("""COMPUTED_VALUE"""),"-")</f>
        <v>-</v>
      </c>
      <c r="E366" s="75" t="str">
        <f>IFERROR(__xludf.DUMMYFUNCTION("""COMPUTED_VALUE"""),"-")</f>
        <v>-</v>
      </c>
      <c r="F366" s="75" t="str">
        <f>IFERROR(__xludf.DUMMYFUNCTION("""COMPUTED_VALUE"""),"-")</f>
        <v>-</v>
      </c>
      <c r="G366" s="75"/>
    </row>
    <row r="367">
      <c r="A367" s="75" t="str">
        <f>IFERROR(__xludf.DUMMYFUNCTION("""COMPUTED_VALUE"""),"Cumulative Translation Adjustment/Unrealized For. Exch. Gain
Cumulative Translation Adjustment/Unrealized For. Exch. Gain")</f>
        <v>Cumulative Translation Adjustment/Unrealized For. Exch. Gain
Cumulative Translation Adjustment/Unrealized For. Exch. Gain</v>
      </c>
      <c r="B367" s="75" t="str">
        <f>IFERROR(__xludf.DUMMYFUNCTION("""COMPUTED_VALUE"""),"-")</f>
        <v>-</v>
      </c>
      <c r="C367" s="75" t="str">
        <f>IFERROR(__xludf.DUMMYFUNCTION("""COMPUTED_VALUE"""),"-")</f>
        <v>-</v>
      </c>
      <c r="D367" s="75" t="str">
        <f>IFERROR(__xludf.DUMMYFUNCTION("""COMPUTED_VALUE"""),"-")</f>
        <v>-</v>
      </c>
      <c r="E367" s="75" t="str">
        <f>IFERROR(__xludf.DUMMYFUNCTION("""COMPUTED_VALUE"""),"-")</f>
        <v>-</v>
      </c>
      <c r="F367" s="75" t="str">
        <f>IFERROR(__xludf.DUMMYFUNCTION("""COMPUTED_VALUE"""),"-")</f>
        <v>-</v>
      </c>
      <c r="G367" s="75"/>
    </row>
    <row r="368">
      <c r="A368" s="75" t="str">
        <f>IFERROR(__xludf.DUMMYFUNCTION("""COMPUTED_VALUE"""),"Unrealized Gain/Loss Marketable Securities
Unrealized Gain/Loss Marketable Securities")</f>
        <v>Unrealized Gain/Loss Marketable Securities
Unrealized Gain/Loss Marketable Securities</v>
      </c>
      <c r="B368" s="75" t="str">
        <f>IFERROR(__xludf.DUMMYFUNCTION("""COMPUTED_VALUE"""),"-")</f>
        <v>-</v>
      </c>
      <c r="C368" s="75" t="str">
        <f>IFERROR(__xludf.DUMMYFUNCTION("""COMPUTED_VALUE"""),"-")</f>
        <v>-</v>
      </c>
      <c r="D368" s="75" t="str">
        <f>IFERROR(__xludf.DUMMYFUNCTION("""COMPUTED_VALUE"""),"-")</f>
        <v>-</v>
      </c>
      <c r="E368" s="75" t="str">
        <f>IFERROR(__xludf.DUMMYFUNCTION("""COMPUTED_VALUE"""),"-")</f>
        <v>-</v>
      </c>
      <c r="F368" s="75" t="str">
        <f>IFERROR(__xludf.DUMMYFUNCTION("""COMPUTED_VALUE"""),"-")</f>
        <v>-</v>
      </c>
      <c r="G368" s="75"/>
    </row>
    <row r="369">
      <c r="A369" s="75" t="str">
        <f>IFERROR(__xludf.DUMMYFUNCTION("""COMPUTED_VALUE"""),"Revaluation Reserves
Revaluation Reserves")</f>
        <v>Revaluation Reserves
Revaluation Reserves</v>
      </c>
      <c r="B369" s="75" t="str">
        <f>IFERROR(__xludf.DUMMYFUNCTION("""COMPUTED_VALUE"""),"-")</f>
        <v>-</v>
      </c>
      <c r="C369" s="75" t="str">
        <f>IFERROR(__xludf.DUMMYFUNCTION("""COMPUTED_VALUE"""),"-")</f>
        <v>-</v>
      </c>
      <c r="D369" s="75" t="str">
        <f>IFERROR(__xludf.DUMMYFUNCTION("""COMPUTED_VALUE"""),"-")</f>
        <v>-</v>
      </c>
      <c r="E369" s="75" t="str">
        <f>IFERROR(__xludf.DUMMYFUNCTION("""COMPUTED_VALUE"""),"-")</f>
        <v>-</v>
      </c>
      <c r="F369" s="75" t="str">
        <f>IFERROR(__xludf.DUMMYFUNCTION("""COMPUTED_VALUE"""),"-")</f>
        <v>-</v>
      </c>
      <c r="G369" s="75"/>
    </row>
    <row r="370">
      <c r="A370" s="75" t="str">
        <f>IFERROR(__xludf.DUMMYFUNCTION("""COMPUTED_VALUE"""),"Treasury Stock
Treasury Stock")</f>
        <v>Treasury Stock
Treasury Stock</v>
      </c>
      <c r="B370" s="75" t="str">
        <f>IFERROR(__xludf.DUMMYFUNCTION("""COMPUTED_VALUE"""),"-")</f>
        <v>-</v>
      </c>
      <c r="C370" s="75" t="str">
        <f>IFERROR(__xludf.DUMMYFUNCTION("""COMPUTED_VALUE"""),"-")</f>
        <v>-</v>
      </c>
      <c r="D370" s="75" t="str">
        <f>IFERROR(__xludf.DUMMYFUNCTION("""COMPUTED_VALUE"""),"-")</f>
        <v>-</v>
      </c>
      <c r="E370" s="75" t="str">
        <f>IFERROR(__xludf.DUMMYFUNCTION("""COMPUTED_VALUE"""),"-")</f>
        <v>-</v>
      </c>
      <c r="F370" s="75" t="str">
        <f>IFERROR(__xludf.DUMMYFUNCTION("""COMPUTED_VALUE"""),"-")</f>
        <v>-</v>
      </c>
      <c r="G370" s="75"/>
    </row>
    <row r="371">
      <c r="A371" s="75" t="str">
        <f>IFERROR(__xludf.DUMMYFUNCTION("""COMPUTED_VALUE"""),"Total Shareholders' Equity
Total Shareholders' Equity")</f>
        <v>Total Shareholders' Equity
Total Shareholders' Equity</v>
      </c>
      <c r="B371" s="75" t="str">
        <f>IFERROR(__xludf.DUMMYFUNCTION("""COMPUTED_VALUE"""),"30.19B")</f>
        <v>30.19B</v>
      </c>
      <c r="C371" s="75" t="str">
        <f>IFERROR(__xludf.DUMMYFUNCTION("""COMPUTED_VALUE"""),"44.7B")</f>
        <v>44.7B</v>
      </c>
      <c r="D371" s="75" t="str">
        <f>IFERROR(__xludf.DUMMYFUNCTION("""COMPUTED_VALUE"""),"62.63B")</f>
        <v>62.63B</v>
      </c>
      <c r="E371" s="75" t="str">
        <f>IFERROR(__xludf.DUMMYFUNCTION("""COMPUTED_VALUE"""),"72.91B")</f>
        <v>72.91B</v>
      </c>
      <c r="F371" s="75" t="str">
        <f>IFERROR(__xludf.DUMMYFUNCTION("""COMPUTED_VALUE"""),"82.14B")</f>
        <v>82.14B</v>
      </c>
      <c r="G371" s="75"/>
    </row>
    <row r="372">
      <c r="A372" s="75" t="str">
        <f>IFERROR(__xludf.DUMMYFUNCTION("""COMPUTED_VALUE"""),"Total Shareholders' Equity / Total Assets
Total Shareholders' Equity / Total Assets")</f>
        <v>Total Shareholders' Equity / Total Assets
Total Shareholders' Equity / Total Assets</v>
      </c>
      <c r="B372" s="74">
        <f>IFERROR(__xludf.DUMMYFUNCTION("""COMPUTED_VALUE"""),0.4859)</f>
        <v>0.4859</v>
      </c>
      <c r="C372" s="74">
        <f>IFERROR(__xludf.DUMMYFUNCTION("""COMPUTED_VALUE"""),0.5429)</f>
        <v>0.5429</v>
      </c>
      <c r="D372" s="74">
        <f>IFERROR(__xludf.DUMMYFUNCTION("""COMPUTED_VALUE"""),0.5875)</f>
        <v>0.5875</v>
      </c>
      <c r="E372" s="74">
        <f>IFERROR(__xludf.DUMMYFUNCTION("""COMPUTED_VALUE"""),0.5973)</f>
        <v>0.5973</v>
      </c>
      <c r="F372" s="74">
        <f>IFERROR(__xludf.DUMMYFUNCTION("""COMPUTED_VALUE"""),0.596)</f>
        <v>0.596</v>
      </c>
      <c r="G372" s="75"/>
    </row>
    <row r="373">
      <c r="A373" s="75" t="str">
        <f>IFERROR(__xludf.DUMMYFUNCTION("""COMPUTED_VALUE"""),"Accumulated Minority Interest
Accumulated Minority Interest")</f>
        <v>Accumulated Minority Interest
Accumulated Minority Interest</v>
      </c>
      <c r="B373" s="75" t="str">
        <f>IFERROR(__xludf.DUMMYFUNCTION("""COMPUTED_VALUE"""),"1.39B")</f>
        <v>1.39B</v>
      </c>
      <c r="C373" s="75" t="str">
        <f>IFERROR(__xludf.DUMMYFUNCTION("""COMPUTED_VALUE"""),"1.19B")</f>
        <v>1.19B</v>
      </c>
      <c r="D373" s="75" t="str">
        <f>IFERROR(__xludf.DUMMYFUNCTION("""COMPUTED_VALUE"""),"975M")</f>
        <v>975M</v>
      </c>
      <c r="E373" s="75" t="str">
        <f>IFERROR(__xludf.DUMMYFUNCTION("""COMPUTED_VALUE"""),"767M")</f>
        <v>767M</v>
      </c>
      <c r="F373" s="75" t="str">
        <f>IFERROR(__xludf.DUMMYFUNCTION("""COMPUTED_VALUE"""),"728M")</f>
        <v>728M</v>
      </c>
      <c r="G373" s="75"/>
    </row>
    <row r="374">
      <c r="A374" s="75" t="str">
        <f>IFERROR(__xludf.DUMMYFUNCTION("""COMPUTED_VALUE"""),"Total Equity
Total Equity")</f>
        <v>Total Equity
Total Equity</v>
      </c>
      <c r="B374" s="75" t="str">
        <f>IFERROR(__xludf.DUMMYFUNCTION("""COMPUTED_VALUE"""),"31.58B")</f>
        <v>31.58B</v>
      </c>
      <c r="C374" s="75" t="str">
        <f>IFERROR(__xludf.DUMMYFUNCTION("""COMPUTED_VALUE"""),"45.9B")</f>
        <v>45.9B</v>
      </c>
      <c r="D374" s="75" t="str">
        <f>IFERROR(__xludf.DUMMYFUNCTION("""COMPUTED_VALUE"""),"63.61B")</f>
        <v>63.61B</v>
      </c>
      <c r="E374" s="75" t="str">
        <f>IFERROR(__xludf.DUMMYFUNCTION("""COMPUTED_VALUE"""),"73.68B")</f>
        <v>73.68B</v>
      </c>
      <c r="F374" s="75" t="str">
        <f>IFERROR(__xludf.DUMMYFUNCTION("""COMPUTED_VALUE"""),"82.87B")</f>
        <v>82.87B</v>
      </c>
      <c r="G374" s="75"/>
    </row>
    <row r="375">
      <c r="A375" s="75" t="str">
        <f>IFERROR(__xludf.DUMMYFUNCTION("""COMPUTED_VALUE"""),"Liabilities &amp; Shareholders' Equity
Liabilities &amp; Shareholders' Equity")</f>
        <v>Liabilities &amp; Shareholders' Equity
Liabilities &amp; Shareholders' Equity</v>
      </c>
      <c r="B375" s="75" t="str">
        <f>IFERROR(__xludf.DUMMYFUNCTION("""COMPUTED_VALUE"""),"62.13B")</f>
        <v>62.13B</v>
      </c>
      <c r="C375" s="75" t="str">
        <f>IFERROR(__xludf.DUMMYFUNCTION("""COMPUTED_VALUE"""),"82.34B")</f>
        <v>82.34B</v>
      </c>
      <c r="D375" s="75" t="str">
        <f>IFERROR(__xludf.DUMMYFUNCTION("""COMPUTED_VALUE"""),"106.62B")</f>
        <v>106.62B</v>
      </c>
      <c r="E375" s="75" t="str">
        <f>IFERROR(__xludf.DUMMYFUNCTION("""COMPUTED_VALUE"""),"122.07B")</f>
        <v>122.07B</v>
      </c>
      <c r="F375" s="75" t="str">
        <f>IFERROR(__xludf.DUMMYFUNCTION("""COMPUTED_VALUE"""),"137.81B")</f>
        <v>137.81B</v>
      </c>
      <c r="G375" s="75"/>
    </row>
    <row r="379">
      <c r="A379" s="75" t="str">
        <f>IFERROR(__xludf.DUMMYFUNCTION("IMPORTHTML(CONCAT(CONCAT(""https://www.marketwatch.com/investing/stock/"",'Income Statement'!D1),""/financials/cash-flow""),""table"",5)
"),"Item
Item")</f>
        <v>Item
Item</v>
      </c>
      <c r="B379" s="75">
        <f>IFERROR(__xludf.DUMMYFUNCTION("""COMPUTED_VALUE"""),2021.0)</f>
        <v>2021</v>
      </c>
      <c r="C379" s="75">
        <f>IFERROR(__xludf.DUMMYFUNCTION("""COMPUTED_VALUE"""),2022.0)</f>
        <v>2022</v>
      </c>
      <c r="D379" s="75">
        <f>IFERROR(__xludf.DUMMYFUNCTION("""COMPUTED_VALUE"""),2023.0)</f>
        <v>2023</v>
      </c>
      <c r="E379" s="75">
        <f>IFERROR(__xludf.DUMMYFUNCTION("""COMPUTED_VALUE"""),2024.0)</f>
        <v>2024</v>
      </c>
      <c r="F379" s="75">
        <f>IFERROR(__xludf.DUMMYFUNCTION("""COMPUTED_VALUE"""),2025.0)</f>
        <v>2025</v>
      </c>
      <c r="G379" s="75" t="str">
        <f>IFERROR(__xludf.DUMMYFUNCTION("""COMPUTED_VALUE"""),"5-year trend")</f>
        <v>5-year trend</v>
      </c>
    </row>
    <row r="380">
      <c r="A380" s="75" t="str">
        <f>IFERROR(__xludf.DUMMYFUNCTION("""COMPUTED_VALUE"""),"Capital Expenditures
Capital Expenditures")</f>
        <v>Capital Expenditures
Capital Expenditures</v>
      </c>
      <c r="B380" s="75" t="str">
        <f>IFERROR(__xludf.DUMMYFUNCTION("""COMPUTED_VALUE"""),"(8.01B)")</f>
        <v>(8.01B)</v>
      </c>
      <c r="C380" s="75" t="str">
        <f>IFERROR(__xludf.DUMMYFUNCTION("""COMPUTED_VALUE"""),"(7.17B)")</f>
        <v>(7.17B)</v>
      </c>
      <c r="D380" s="75" t="str">
        <f>IFERROR(__xludf.DUMMYFUNCTION("""COMPUTED_VALUE"""),"(8.9B)")</f>
        <v>(8.9B)</v>
      </c>
      <c r="E380" s="75" t="str">
        <f>IFERROR(__xludf.DUMMYFUNCTION("""COMPUTED_VALUE"""),"(11.34B)")</f>
        <v>(11.34B)</v>
      </c>
      <c r="F380" s="75" t="str">
        <f>IFERROR(__xludf.DUMMYFUNCTION("""COMPUTED_VALUE"""),"(8.53B)")</f>
        <v>(8.53B)</v>
      </c>
      <c r="G380" s="75"/>
    </row>
    <row r="381">
      <c r="A381" s="75" t="str">
        <f>IFERROR(__xludf.DUMMYFUNCTION("""COMPUTED_VALUE"""),"Capital Expenditures Growth
Capital Expenditures Growth")</f>
        <v>Capital Expenditures Growth
Capital Expenditures Growth</v>
      </c>
      <c r="B381" s="75" t="str">
        <f>IFERROR(__xludf.DUMMYFUNCTION("""COMPUTED_VALUE"""),"-")</f>
        <v>-</v>
      </c>
      <c r="C381" s="74">
        <f>IFERROR(__xludf.DUMMYFUNCTION("""COMPUTED_VALUE"""),0.1051)</f>
        <v>0.1051</v>
      </c>
      <c r="D381" s="74">
        <f>IFERROR(__xludf.DUMMYFUNCTION("""COMPUTED_VALUE"""),-0.2408)</f>
        <v>-0.2408</v>
      </c>
      <c r="E381" s="74">
        <f>IFERROR(__xludf.DUMMYFUNCTION("""COMPUTED_VALUE"""),-0.2745)</f>
        <v>-0.2745</v>
      </c>
      <c r="F381" s="74">
        <f>IFERROR(__xludf.DUMMYFUNCTION("""COMPUTED_VALUE"""),0.2482)</f>
        <v>0.2482</v>
      </c>
      <c r="G381" s="75"/>
    </row>
    <row r="382">
      <c r="A382" s="75" t="str">
        <f>IFERROR(__xludf.DUMMYFUNCTION("""COMPUTED_VALUE"""),"Capital Expenditures / Sales
Capital Expenditures / Sales")</f>
        <v>Capital Expenditures / Sales
Capital Expenditures / Sales</v>
      </c>
      <c r="B382" s="74">
        <f>IFERROR(__xludf.DUMMYFUNCTION("""COMPUTED_VALUE"""),-0.1489)</f>
        <v>-0.1489</v>
      </c>
      <c r="C382" s="74">
        <f>IFERROR(__xludf.DUMMYFUNCTION("""COMPUTED_VALUE"""),-0.088)</f>
        <v>-0.088</v>
      </c>
      <c r="D382" s="74">
        <f>IFERROR(__xludf.DUMMYFUNCTION("""COMPUTED_VALUE"""),-0.092)</f>
        <v>-0.092</v>
      </c>
      <c r="E382" s="74">
        <f>IFERROR(__xludf.DUMMYFUNCTION("""COMPUTED_VALUE"""),-0.1161)</f>
        <v>-0.1161</v>
      </c>
      <c r="F382" s="74">
        <f>IFERROR(__xludf.DUMMYFUNCTION("""COMPUTED_VALUE"""),-0.0899)</f>
        <v>-0.0899</v>
      </c>
      <c r="G382" s="75"/>
    </row>
    <row r="383">
      <c r="A383" s="75" t="str">
        <f>IFERROR(__xludf.DUMMYFUNCTION("""COMPUTED_VALUE"""),"Capital Expenditures (Fixed Assets)
Capital Expenditures (Fixed Assets)")</f>
        <v>Capital Expenditures (Fixed Assets)
Capital Expenditures (Fixed Assets)</v>
      </c>
      <c r="B383" s="75" t="str">
        <f>IFERROR(__xludf.DUMMYFUNCTION("""COMPUTED_VALUE"""),"(6.51B)")</f>
        <v>(6.51B)</v>
      </c>
      <c r="C383" s="75" t="str">
        <f>IFERROR(__xludf.DUMMYFUNCTION("""COMPUTED_VALUE"""),"(7.16B)")</f>
        <v>(7.16B)</v>
      </c>
      <c r="D383" s="75" t="str">
        <f>IFERROR(__xludf.DUMMYFUNCTION("""COMPUTED_VALUE"""),"(8.9B)")</f>
        <v>(8.9B)</v>
      </c>
      <c r="E383" s="75" t="str">
        <f>IFERROR(__xludf.DUMMYFUNCTION("""COMPUTED_VALUE"""),"(11.34B)")</f>
        <v>(11.34B)</v>
      </c>
      <c r="F383" s="75" t="str">
        <f>IFERROR(__xludf.DUMMYFUNCTION("""COMPUTED_VALUE"""),"(8.53B)")</f>
        <v>(8.53B)</v>
      </c>
      <c r="G383" s="75"/>
    </row>
    <row r="384">
      <c r="A384" s="75" t="str">
        <f>IFERROR(__xludf.DUMMYFUNCTION("""COMPUTED_VALUE"""),"Capital Expenditures (Other Assets)
Capital Expenditures (Other Assets)")</f>
        <v>Capital Expenditures (Other Assets)
Capital Expenditures (Other Assets)</v>
      </c>
      <c r="B384" s="75" t="str">
        <f>IFERROR(__xludf.DUMMYFUNCTION("""COMPUTED_VALUE"""),"(1.5B)")</f>
        <v>(1.5B)</v>
      </c>
      <c r="C384" s="75" t="str">
        <f>IFERROR(__xludf.DUMMYFUNCTION("""COMPUTED_VALUE"""),"(9M)")</f>
        <v>(9M)</v>
      </c>
      <c r="D384" s="75" t="str">
        <f>IFERROR(__xludf.DUMMYFUNCTION("""COMPUTED_VALUE"""),"-")</f>
        <v>-</v>
      </c>
      <c r="E384" s="75" t="str">
        <f>IFERROR(__xludf.DUMMYFUNCTION("""COMPUTED_VALUE"""),"-")</f>
        <v>-</v>
      </c>
      <c r="F384" s="75" t="str">
        <f>IFERROR(__xludf.DUMMYFUNCTION("""COMPUTED_VALUE"""),"-")</f>
        <v>-</v>
      </c>
      <c r="G384" s="75"/>
    </row>
    <row r="385">
      <c r="A385" s="75" t="str">
        <f>IFERROR(__xludf.DUMMYFUNCTION("""COMPUTED_VALUE"""),"Net Assets from Acquisitions
Net Assets from Acquisitions")</f>
        <v>Net Assets from Acquisitions
Net Assets from Acquisitions</v>
      </c>
      <c r="B385" s="75" t="str">
        <f>IFERROR(__xludf.DUMMYFUNCTION("""COMPUTED_VALUE"""),"-")</f>
        <v>-</v>
      </c>
      <c r="C385" s="75" t="str">
        <f>IFERROR(__xludf.DUMMYFUNCTION("""COMPUTED_VALUE"""),"(45M)")</f>
        <v>(45M)</v>
      </c>
      <c r="D385" s="75" t="str">
        <f>IFERROR(__xludf.DUMMYFUNCTION("""COMPUTED_VALUE"""),"(118M)")</f>
        <v>(118M)</v>
      </c>
      <c r="E385" s="75" t="str">
        <f>IFERROR(__xludf.DUMMYFUNCTION("""COMPUTED_VALUE"""),"(133M)")</f>
        <v>(133M)</v>
      </c>
      <c r="F385" s="75" t="str">
        <f>IFERROR(__xludf.DUMMYFUNCTION("""COMPUTED_VALUE"""),"-")</f>
        <v>-</v>
      </c>
      <c r="G385" s="75"/>
    </row>
    <row r="386">
      <c r="A386" s="75" t="str">
        <f>IFERROR(__xludf.DUMMYFUNCTION("""COMPUTED_VALUE"""),"Sale of Fixed Assets &amp; Businesses
Sale of Fixed Assets &amp; Businesses")</f>
        <v>Sale of Fixed Assets &amp; Businesses
Sale of Fixed Assets &amp; Businesses</v>
      </c>
      <c r="B386" s="75" t="str">
        <f>IFERROR(__xludf.DUMMYFUNCTION("""COMPUTED_VALUE"""),"2M")</f>
        <v>2M</v>
      </c>
      <c r="C386" s="75" t="str">
        <f>IFERROR(__xludf.DUMMYFUNCTION("""COMPUTED_VALUE"""),"-")</f>
        <v>-</v>
      </c>
      <c r="D386" s="75" t="str">
        <f>IFERROR(__xludf.DUMMYFUNCTION("""COMPUTED_VALUE"""),"-")</f>
        <v>-</v>
      </c>
      <c r="E386" s="75" t="str">
        <f>IFERROR(__xludf.DUMMYFUNCTION("""COMPUTED_VALUE"""),"-")</f>
        <v>-</v>
      </c>
      <c r="F386" s="75" t="str">
        <f>IFERROR(__xludf.DUMMYFUNCTION("""COMPUTED_VALUE"""),"-")</f>
        <v>-</v>
      </c>
      <c r="G386" s="75"/>
    </row>
    <row r="387">
      <c r="A387" s="75" t="str">
        <f>IFERROR(__xludf.DUMMYFUNCTION("""COMPUTED_VALUE"""),"Purchase/Sale of Investments
Purchase/Sale of Investments")</f>
        <v>Purchase/Sale of Investments
Purchase/Sale of Investments</v>
      </c>
      <c r="B387" s="75" t="str">
        <f>IFERROR(__xludf.DUMMYFUNCTION("""COMPUTED_VALUE"""),"(132M)")</f>
        <v>(132M)</v>
      </c>
      <c r="C387" s="75" t="str">
        <f>IFERROR(__xludf.DUMMYFUNCTION("""COMPUTED_VALUE"""),"(5.81B)")</f>
        <v>(5.81B)</v>
      </c>
      <c r="D387" s="75" t="str">
        <f>IFERROR(__xludf.DUMMYFUNCTION("""COMPUTED_VALUE"""),"(6.62B)")</f>
        <v>(6.62B)</v>
      </c>
      <c r="E387" s="75" t="str">
        <f>IFERROR(__xludf.DUMMYFUNCTION("""COMPUTED_VALUE"""),"(7.45B)")</f>
        <v>(7.45B)</v>
      </c>
      <c r="F387" s="75" t="str">
        <f>IFERROR(__xludf.DUMMYFUNCTION("""COMPUTED_VALUE"""),"(6.95B)")</f>
        <v>(6.95B)</v>
      </c>
      <c r="G387" s="75"/>
    </row>
    <row r="388">
      <c r="A388" s="75" t="str">
        <f>IFERROR(__xludf.DUMMYFUNCTION("""COMPUTED_VALUE"""),"Purchase of Investments
Purchase of Investments")</f>
        <v>Purchase of Investments
Purchase of Investments</v>
      </c>
      <c r="B388" s="75" t="str">
        <f>IFERROR(__xludf.DUMMYFUNCTION("""COMPUTED_VALUE"""),"(132M)")</f>
        <v>(132M)</v>
      </c>
      <c r="C388" s="75" t="str">
        <f>IFERROR(__xludf.DUMMYFUNCTION("""COMPUTED_VALUE"""),"(5.84B)")</f>
        <v>(5.84B)</v>
      </c>
      <c r="D388" s="75" t="str">
        <f>IFERROR(__xludf.DUMMYFUNCTION("""COMPUTED_VALUE"""),"(19.11B)")</f>
        <v>(19.11B)</v>
      </c>
      <c r="E388" s="75" t="str">
        <f>IFERROR(__xludf.DUMMYFUNCTION("""COMPUTED_VALUE"""),"(35.96B)")</f>
        <v>(35.96B)</v>
      </c>
      <c r="F388" s="75" t="str">
        <f>IFERROR(__xludf.DUMMYFUNCTION("""COMPUTED_VALUE"""),"(37.11B)")</f>
        <v>(37.11B)</v>
      </c>
      <c r="G388" s="75"/>
    </row>
    <row r="389">
      <c r="A389" s="75" t="str">
        <f>IFERROR(__xludf.DUMMYFUNCTION("""COMPUTED_VALUE"""),"Sale/Maturity of Investments
Sale/Maturity of Investments")</f>
        <v>Sale/Maturity of Investments
Sale/Maturity of Investments</v>
      </c>
      <c r="B389" s="75" t="str">
        <f>IFERROR(__xludf.DUMMYFUNCTION("""COMPUTED_VALUE"""),"-")</f>
        <v>-</v>
      </c>
      <c r="C389" s="75" t="str">
        <f>IFERROR(__xludf.DUMMYFUNCTION("""COMPUTED_VALUE"""),"22M")</f>
        <v>22M</v>
      </c>
      <c r="D389" s="75" t="str">
        <f>IFERROR(__xludf.DUMMYFUNCTION("""COMPUTED_VALUE"""),"12.49B")</f>
        <v>12.49B</v>
      </c>
      <c r="E389" s="75" t="str">
        <f>IFERROR(__xludf.DUMMYFUNCTION("""COMPUTED_VALUE"""),"28.51B")</f>
        <v>28.51B</v>
      </c>
      <c r="F389" s="75" t="str">
        <f>IFERROR(__xludf.DUMMYFUNCTION("""COMPUTED_VALUE"""),"30.16B")</f>
        <v>30.16B</v>
      </c>
      <c r="G389" s="75"/>
    </row>
    <row r="390">
      <c r="A390" s="75" t="str">
        <f>IFERROR(__xludf.DUMMYFUNCTION("""COMPUTED_VALUE"""),"Other Uses
Other Uses")</f>
        <v>Other Uses
Other Uses</v>
      </c>
      <c r="B390" s="75" t="str">
        <f>IFERROR(__xludf.DUMMYFUNCTION("""COMPUTED_VALUE"""),"-")</f>
        <v>-</v>
      </c>
      <c r="C390" s="75" t="str">
        <f>IFERROR(__xludf.DUMMYFUNCTION("""COMPUTED_VALUE"""),"-")</f>
        <v>-</v>
      </c>
      <c r="D390" s="75" t="str">
        <f>IFERROR(__xludf.DUMMYFUNCTION("""COMPUTED_VALUE"""),"-")</f>
        <v>-</v>
      </c>
      <c r="E390" s="75" t="str">
        <f>IFERROR(__xludf.DUMMYFUNCTION("""COMPUTED_VALUE"""),"-")</f>
        <v>-</v>
      </c>
      <c r="F390" s="75" t="str">
        <f>IFERROR(__xludf.DUMMYFUNCTION("""COMPUTED_VALUE"""),"-")</f>
        <v>-</v>
      </c>
      <c r="G390" s="75"/>
    </row>
    <row r="391">
      <c r="A391" s="75" t="str">
        <f>IFERROR(__xludf.DUMMYFUNCTION("""COMPUTED_VALUE"""),"Other Sources
Other Sources")</f>
        <v>Other Sources
Other Sources</v>
      </c>
      <c r="B391" s="75" t="str">
        <f>IFERROR(__xludf.DUMMYFUNCTION("""COMPUTED_VALUE"""),"-")</f>
        <v>-</v>
      </c>
      <c r="C391" s="75" t="str">
        <f>IFERROR(__xludf.DUMMYFUNCTION("""COMPUTED_VALUE"""),"-")</f>
        <v>-</v>
      </c>
      <c r="D391" s="75" t="str">
        <f>IFERROR(__xludf.DUMMYFUNCTION("""COMPUTED_VALUE"""),"-")</f>
        <v>-</v>
      </c>
      <c r="E391" s="75" t="str">
        <f>IFERROR(__xludf.DUMMYFUNCTION("""COMPUTED_VALUE"""),"-")</f>
        <v>-</v>
      </c>
      <c r="F391" s="75" t="str">
        <f>IFERROR(__xludf.DUMMYFUNCTION("""COMPUTED_VALUE"""),"277M")</f>
        <v>277M</v>
      </c>
      <c r="G391" s="75"/>
    </row>
    <row r="392">
      <c r="A392" s="75" t="str">
        <f>IFERROR(__xludf.DUMMYFUNCTION("""COMPUTED_VALUE"""),"Net Investing Cash Flow
Net Investing Cash Flow")</f>
        <v>Net Investing Cash Flow
Net Investing Cash Flow</v>
      </c>
      <c r="B392" s="75" t="str">
        <f>IFERROR(__xludf.DUMMYFUNCTION("""COMPUTED_VALUE"""),"(7.87B)")</f>
        <v>(7.87B)</v>
      </c>
      <c r="C392" s="75" t="str">
        <f>IFERROR(__xludf.DUMMYFUNCTION("""COMPUTED_VALUE"""),"(12.02B)")</f>
        <v>(12.02B)</v>
      </c>
      <c r="D392" s="75" t="str">
        <f>IFERROR(__xludf.DUMMYFUNCTION("""COMPUTED_VALUE"""),"(15.64B)")</f>
        <v>(15.64B)</v>
      </c>
      <c r="E392" s="75" t="str">
        <f>IFERROR(__xludf.DUMMYFUNCTION("""COMPUTED_VALUE"""),"(18.92B)")</f>
        <v>(18.92B)</v>
      </c>
      <c r="F392" s="75" t="str">
        <f>IFERROR(__xludf.DUMMYFUNCTION("""COMPUTED_VALUE"""),"(15.48B)")</f>
        <v>(15.48B)</v>
      </c>
      <c r="G392" s="75"/>
    </row>
    <row r="393">
      <c r="A393" s="75" t="str">
        <f>IFERROR(__xludf.DUMMYFUNCTION("""COMPUTED_VALUE"""),"Net Investing Cash Flow Growth
Net Investing Cash Flow Growth")</f>
        <v>Net Investing Cash Flow Growth
Net Investing Cash Flow Growth</v>
      </c>
      <c r="B393" s="75" t="str">
        <f>IFERROR(__xludf.DUMMYFUNCTION("""COMPUTED_VALUE"""),"-")</f>
        <v>-</v>
      </c>
      <c r="C393" s="74">
        <f>IFERROR(__xludf.DUMMYFUNCTION("""COMPUTED_VALUE"""),-0.5278)</f>
        <v>-0.5278</v>
      </c>
      <c r="D393" s="74">
        <f>IFERROR(__xludf.DUMMYFUNCTION("""COMPUTED_VALUE"""),-0.3012)</f>
        <v>-0.3012</v>
      </c>
      <c r="E393" s="74">
        <f>IFERROR(__xludf.DUMMYFUNCTION("""COMPUTED_VALUE"""),-0.2099)</f>
        <v>-0.2099</v>
      </c>
      <c r="F393" s="74">
        <f>IFERROR(__xludf.DUMMYFUNCTION("""COMPUTED_VALUE"""),0.1819)</f>
        <v>0.1819</v>
      </c>
      <c r="G393" s="75"/>
    </row>
    <row r="394">
      <c r="A394" s="75" t="str">
        <f>IFERROR(__xludf.DUMMYFUNCTION("""COMPUTED_VALUE"""),"Net Investing Cash Flow / Sales
Net Investing Cash Flow / Sales")</f>
        <v>Net Investing Cash Flow / Sales
Net Investing Cash Flow / Sales</v>
      </c>
      <c r="B394" s="74">
        <f>IFERROR(__xludf.DUMMYFUNCTION("""COMPUTED_VALUE"""),-0.1461)</f>
        <v>-0.1461</v>
      </c>
      <c r="C394" s="74">
        <f>IFERROR(__xludf.DUMMYFUNCTION("""COMPUTED_VALUE"""),-0.1475)</f>
        <v>-0.1475</v>
      </c>
      <c r="D394" s="74">
        <f>IFERROR(__xludf.DUMMYFUNCTION("""COMPUTED_VALUE"""),-0.1616)</f>
        <v>-0.1616</v>
      </c>
      <c r="E394" s="74">
        <f>IFERROR(__xludf.DUMMYFUNCTION("""COMPUTED_VALUE"""),-0.1937)</f>
        <v>-0.1937</v>
      </c>
      <c r="F394" s="74">
        <f>IFERROR(__xludf.DUMMYFUNCTION("""COMPUTED_VALUE"""),-0.1632)</f>
        <v>-0.1632</v>
      </c>
      <c r="G394" s="75"/>
    </row>
    <row r="398">
      <c r="A398" s="75" t="str">
        <f>IFERROR(__xludf.DUMMYFUNCTION("IMPORTHTML(""https://www.marketwatch.com/investing/bond/tmubmusd10y?countrycode=bx"",""table"",2)
"),"Previous Close")</f>
        <v>Previous Close</v>
      </c>
      <c r="B398" s="23" t="s">
        <v>119</v>
      </c>
    </row>
    <row r="399">
      <c r="A399" s="74">
        <f>IFERROR(__xludf.DUMMYFUNCTION("""COMPUTED_VALUE"""),0.0449)</f>
        <v>0.0449</v>
      </c>
    </row>
  </sheetData>
  <drawing r:id="rId1"/>
</worksheet>
</file>